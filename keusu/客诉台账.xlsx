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25" windowHeight="10095"/>
  </bookViews>
  <sheets>
    <sheet name="宜胜客诉台账" sheetId="1" r:id="rId1"/>
  </sheets>
  <externalReferences>
    <externalReference r:id="rId2"/>
  </externalReferences>
  <definedNames>
    <definedName name="_xlnm._FilterDatabase" localSheetId="0" hidden="1">宜胜客诉台账!$B$1:$AC$17</definedName>
    <definedName name="安规">[1]数据源!$L$2:$L$24</definedName>
    <definedName name="包装">[1]数据源!$H$2:$H$24</definedName>
    <definedName name="不涉及">[1]数据源!$AL$2</definedName>
    <definedName name="否">[1]数据源!$AK$2:$AK$12</definedName>
    <definedName name="功能">[1]数据源!$K$2:$K$24</definedName>
    <definedName name="计划采购部">[1]数据源!$AC$2:$AC$6</definedName>
    <definedName name="技术质量部">[1]数据源!$AD$2:$AD$6</definedName>
    <definedName name="内部">[1]数据源!$J$2:$J$24</definedName>
    <definedName name="其它">[1]数据源!$N$2:$N$24</definedName>
    <definedName name="试产">[1]数据源!$E$2:$E$6</definedName>
    <definedName name="是">[1]数据源!$AJ$2:$AJ$7</definedName>
    <definedName name="外观">[1]数据源!$I$2:$I$24</definedName>
    <definedName name="宜胜照明1">[1]数据源!$Z$2:$Z$6</definedName>
    <definedName name="宜胜照明2">[1]数据源!$AA$2:$AA$6</definedName>
    <definedName name="宜胜照明3">[1]数据源!$AB$2:$AB$6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bqgff</author>
  </authors>
  <commentList>
    <comment ref="Q2" authorId="0">
      <text>
        <r>
          <rPr>
            <b/>
            <sz val="9"/>
            <rFont val="宋体"/>
            <charset val="134"/>
          </rPr>
          <t>bqgff:</t>
        </r>
        <r>
          <rPr>
            <sz val="9"/>
            <rFont val="宋体"/>
            <charset val="134"/>
          </rPr>
          <t xml:space="preserve">
过程管控失效批量不良
</t>
        </r>
      </text>
    </comment>
    <comment ref="Q3" authorId="0">
      <text>
        <r>
          <rPr>
            <b/>
            <sz val="9"/>
            <rFont val="宋体"/>
            <charset val="134"/>
          </rPr>
          <t>bqgff:</t>
        </r>
        <r>
          <rPr>
            <sz val="9"/>
            <rFont val="宋体"/>
            <charset val="134"/>
          </rPr>
          <t xml:space="preserve">
是否有SOP</t>
        </r>
      </text>
    </comment>
    <comment ref="Q9" authorId="0">
      <text>
        <r>
          <rPr>
            <b/>
            <sz val="9"/>
            <rFont val="宋体"/>
            <charset val="134"/>
          </rPr>
          <t>bqgff:全靠猜测，是否拿到样品，是否复现</t>
        </r>
      </text>
    </comment>
    <comment ref="Q12" authorId="0">
      <text>
        <r>
          <rPr>
            <b/>
            <sz val="9"/>
            <rFont val="宋体"/>
            <charset val="134"/>
          </rPr>
          <t>bqgff:全靠猜测，是否拿到样品，是否复现</t>
        </r>
      </text>
    </comment>
  </commentList>
</comments>
</file>

<file path=xl/sharedStrings.xml><?xml version="1.0" encoding="utf-8"?>
<sst xmlns="http://schemas.openxmlformats.org/spreadsheetml/2006/main" count="290" uniqueCount="164">
  <si>
    <t>序号</t>
  </si>
  <si>
    <t>发生时间</t>
  </si>
  <si>
    <t>订单号</t>
  </si>
  <si>
    <t>产品型号</t>
  </si>
  <si>
    <t>客户</t>
  </si>
  <si>
    <t>事业部</t>
  </si>
  <si>
    <t>业务</t>
  </si>
  <si>
    <t>产品</t>
  </si>
  <si>
    <t>CQE</t>
  </si>
  <si>
    <t>问题描述</t>
  </si>
  <si>
    <t>订单数量</t>
  </si>
  <si>
    <t>客诉数量</t>
  </si>
  <si>
    <t>不良占比</t>
  </si>
  <si>
    <t>问题来源</t>
  </si>
  <si>
    <t>问题类别</t>
  </si>
  <si>
    <t>原因分析</t>
  </si>
  <si>
    <t>原因分类</t>
  </si>
  <si>
    <t>临时措施</t>
  </si>
  <si>
    <t>长期措施</t>
  </si>
  <si>
    <t>是否根本解</t>
  </si>
  <si>
    <t>措施类型</t>
  </si>
  <si>
    <t>责任部门</t>
  </si>
  <si>
    <t>二级部门3</t>
  </si>
  <si>
    <t>计划完成时间</t>
  </si>
  <si>
    <t>实际完成时间</t>
  </si>
  <si>
    <t>状态</t>
  </si>
  <si>
    <t>巴西527计量插座系列</t>
  </si>
  <si>
    <t>巴西527</t>
  </si>
  <si>
    <t>宜胜照明1</t>
  </si>
  <si>
    <t>徐赢意</t>
  </si>
  <si>
    <t>赖长金</t>
  </si>
  <si>
    <t>丁亚双</t>
  </si>
  <si>
    <t>插座实际电压与APP计量电压偏差大,客户抽15pcs，6pcs异常，客户重新计量校准后恢复正常</t>
  </si>
  <si>
    <t>售后客诉</t>
  </si>
  <si>
    <t>功能</t>
  </si>
  <si>
    <t>产品模块由涂鸦更换为乐橙后，未及时更新SOP，且乐橙模块计量成功状态与涂鸦有明显区别，导致未计量校准产品流出</t>
  </si>
  <si>
    <t>制程装配</t>
  </si>
  <si>
    <t>库存插座系列产品全部返工，重新计量校准</t>
  </si>
  <si>
    <r>
      <rPr>
        <sz val="10"/>
        <color theme="1"/>
        <rFont val="黑体"/>
        <charset val="134"/>
      </rPr>
      <t>1、更新SOP，明确乐橙模块产品计量成功状态；如右图SOP
2、岗位人员培训，针对SOP更新内容，进行现场演示实操培训，测试人员进行定岗
3、</t>
    </r>
    <r>
      <rPr>
        <sz val="10"/>
        <color rgb="FFFF0000"/>
        <rFont val="黑体"/>
        <charset val="134"/>
      </rPr>
      <t>首件确认及过程质量控制；每批次订单产品首件确认5PCS合格后，订单才能上线生产。</t>
    </r>
    <r>
      <rPr>
        <sz val="10"/>
        <color theme="1"/>
        <rFont val="黑体"/>
        <charset val="134"/>
      </rPr>
      <t>在制程过程中班组长和IPQC每2小时抽取10pcs进行抽测连接APP验证，确保生产制程中的产品质量符合客户要求。</t>
    </r>
  </si>
  <si>
    <t>否</t>
  </si>
  <si>
    <t>工艺优化</t>
  </si>
  <si>
    <t>生产一</t>
  </si>
  <si>
    <t>A125S183</t>
  </si>
  <si>
    <t>RL240
AC609400055
AC609390055</t>
  </si>
  <si>
    <t>中国1796-欧洲</t>
  </si>
  <si>
    <t>宜胜照明3</t>
  </si>
  <si>
    <t>王雨晨</t>
  </si>
  <si>
    <t>余元浩</t>
  </si>
  <si>
    <t>王超</t>
  </si>
  <si>
    <t>包装损坏，外箱中部弯曲变形</t>
  </si>
  <si>
    <t>包装</t>
  </si>
  <si>
    <t>未按工艺单资料要求进行打托装柜，要求使用1200*800托盘叠放，实际使用大托盘回字型摆放，外箱较长，两边有泡棉支撑，回字型放置中间无支撑</t>
  </si>
  <si>
    <t>提供包装材料供客户更换</t>
  </si>
  <si>
    <t>仓库物流按工艺要求进行打托</t>
  </si>
  <si>
    <t>人员培训</t>
  </si>
  <si>
    <t>其它事业部</t>
  </si>
  <si>
    <t>快仓科技</t>
  </si>
  <si>
    <t>M25A002</t>
  </si>
  <si>
    <t>EWS 1006 BR</t>
  </si>
  <si>
    <t>在我们的成品质量检查过程中，检查了 400 个样品后，我们发现有 4 个产品缺少螺丝，并且在返工过程中我们也发现了同样的问题。我们需要您的协助来执行以下操作：1. 对仓库内的物品进行清点，并就所存物品的状况提供反馈意见；2. 查明根本原因，并附上 8D 报告及纠正措施；</t>
  </si>
  <si>
    <t>人员作业疲劳，少装一颗螺丝</t>
  </si>
  <si>
    <t>返工全检清点数量</t>
  </si>
  <si>
    <t>增加称重，超上下限报警</t>
  </si>
  <si>
    <t>M24A008</t>
  </si>
  <si>
    <t>ETS 2002 BR</t>
  </si>
  <si>
    <t>客诉反馈订单M24A008 ，ETS 2002 BR  6 件产品内部有噪音，打开产品检查噪音原因后，发现 5 件产品有焊球，1 件产品有一块塑料。该订单产品批次数量3885pcs，不良率0.15%</t>
  </si>
  <si>
    <t>内部</t>
  </si>
  <si>
    <t>1.锡渣： PCBA元件通过波峰焊进行焊接时，元件中间镂空孔位漏锡，导致锡残留元器件缝隙处
2.塑料：组装过程异物掉落内部</t>
  </si>
  <si>
    <t>对有风险批次库存摇异响全检，不良拆机内部清理</t>
  </si>
  <si>
    <t>1.产品工艺变更，波峰焊工位增加工装载具遮挡PCBA板镂空孔位
2.PCBA板目检岗位锡渣风险位置 、不良图片定期宣导
3.组装车间包装前SOP增加摇异响检查</t>
  </si>
  <si>
    <t>M25A020-1</t>
  </si>
  <si>
    <t>EIW 1001 BR</t>
  </si>
  <si>
    <t>玻璃面盖背后黑色图层有缺陷和划痕，客户抽检125pcs，不良5pcs</t>
  </si>
  <si>
    <t>外观</t>
  </si>
  <si>
    <r>
      <rPr>
        <sz val="10"/>
        <color rgb="FFFF0000"/>
        <rFont val="黑体"/>
        <charset val="134"/>
      </rPr>
      <t>原因分析:
1.划痕：经划痕痕迹分析，划痕形态呈线性、尖锐、定向特征，判定为生产过程锐器划伤，现场锐器管理缺失，风险未被提前识别与控制。</t>
    </r>
    <r>
      <rPr>
        <sz val="10"/>
        <color theme="1"/>
        <rFont val="黑体"/>
        <charset val="134"/>
      </rPr>
      <t xml:space="preserve">
2.白色不规则透光点：玻璃面板来料丝印过程印刷速度过快导致气泡未充分释放形成的针孔/白点，或者是油墨本身杂质颗粒印刷后形成的透光白点；</t>
    </r>
  </si>
  <si>
    <t>来料异常</t>
  </si>
  <si>
    <t>库存抽检</t>
  </si>
  <si>
    <t>永久纠正措施：
1.划痕：
车间锐器管控，锐器收发管控，固定使用，若有使用SOP备注作业方法，并对工具工装进行防护后再进行使用。
2.来料白点：
a.供应商玻璃丝印工艺参数印刷速度调整：
由原来的刮刀速度700、覆墨速度1600、印刷升降速度500调整为刮刀速度500、覆墨速度1000、
印刷升降速度500.
b.变更定期更换油墨过滤网频率,，由原72H更换变更为12H更换；
c.油墨烘干工序后增加目视全检</t>
  </si>
  <si>
    <t>供应商改善</t>
  </si>
  <si>
    <t>计划采购部</t>
  </si>
  <si>
    <t>供方管理组</t>
  </si>
  <si>
    <t>EIW 1001 PT</t>
  </si>
  <si>
    <t>外箱用错1pcs</t>
  </si>
  <si>
    <t>1. M25A020-1 EIW 1001 PT最晚入库9.20、系统结案9.21，配套外箱料号70010101543；错误外箱为M25A018-1 EZS 1002 BR的料号70010101682，该外箱9.22入库、10.11发料，外箱按单数量采购无库存，到料时间晚于正确产品生产入库时间，排除正常生产混料用错可能
2. 10-11月玻璃盖起翘问题处理期间，工厂对相关产品开展大量验证排查工作，过程中同时拿取多款产品操作，M25A020-1 EIW 1001 PT未做返工但被纳入此次验证排查，装回时应为员工未核对产品与外箱的匹配性，导致错用同系列M25A018-1 EZS 1002 BR的外箱。 
3.10月份外箱版本更新，新旧版本交替，员工不熟悉订单对应外箱版本，导致用错
结论：外箱版本更新新旧交替；员工未识别；排查/借样未核对，导致外箱用错</t>
  </si>
  <si>
    <t>1.对10-1月库存产品抽检4款核对外箱匹配度，未发现异常
2.对在途库存外箱排查是否混料，未发现异常</t>
  </si>
  <si>
    <t>永久纠正措施：
1.制定库存排查跟踪记录表，内含产品及包装核对等项目，规范库存排查工作；
2.针对巴西527外箱更新内容人员培训
预防措施：
工艺单发生变更时，业务邮件通知生产、品质及相关人员，附详细变更内容说明，PQE收到邮件后对各责任人培训情况进行确认，右图为《工艺单资料变更记录表》</t>
  </si>
  <si>
    <t>流程优化</t>
  </si>
  <si>
    <t>LG189样品</t>
  </si>
  <si>
    <t>正泰</t>
  </si>
  <si>
    <t>2026年3月5日收到正泰3台LG189退机样品：
1.1#机：产品无法启动，灯不亮
2.2#机：110-130V正常，140V以上规律性闪烁
3.3#机：240V输入掉功率，亮度频繁闪烁</t>
  </si>
  <si>
    <t>样品确认</t>
  </si>
  <si>
    <t>根本原因：IC拆真空包装后受潮，波峰焊高温产生爆米花效应，导致芯片分层击穿；
直接原因：U1驱动IC内部击穿、芯片分层，导致电路失效</t>
  </si>
  <si>
    <t>研发设计</t>
  </si>
  <si>
    <t>1.对3台退机样品检测、不良复现、定位IC失效
2.不良IC送原厂做失效分析，保留样品备查；
3.修复可使用样品并验证，将结果反馈客户</t>
  </si>
  <si>
    <t>1.IC拆封后限时使用，防止受潮
2.超期存放IC必须80-100℃烘烤8小时方可上线
3.焊炉温250-265℃，焊接时间2-6秒，固化参数</t>
  </si>
  <si>
    <t>研发</t>
  </si>
  <si>
    <t>A124S207-1</t>
  </si>
  <si>
    <t>RL182C-100W</t>
  </si>
  <si>
    <t>中国1796-木林森</t>
  </si>
  <si>
    <t>2026年1月27日收到俄朗客诉信息
订单号A124S207-1(EAN 4058075678156 )
不良数量：31 pcs.
客诉描述：灯具装上去后7-10天左右，灯具陆续出现灯珠烧毁的情况，隔2-3天后接连出现，这些灯具装在不同的线路上。 
安装地：俄罗斯/中亚地区</t>
  </si>
  <si>
    <t>根本原因分析：
1、客户灯具安装后仅7-10天即批量出现灯珠烧毁，属于典型早期失效，排除自然老化因素；
2、灯珠表面发黑是过流/过压击穿典型特征，LED内部芯片击穿、金线熔断；
3、检测驱动元器件有内部损伤现象，考虑安装地点为中亚，电网环境电压波动+浪涌冲击（如大型设备启停，接地差，线路长，雷暴多等）气候特征（昼夜温差大，温度剧烈变化产生热胀冷缩应力会使LED灯珠金线、焊点疲劳失效），每次上电/电压波动都会造成元器件积累损伤，从而导致驱动输出失控；
4.老化验证：该方案产品在270V电压老化168H，产品未发现异常（右图3图4）
5.低温验证：该方案产品在低温-25℃条件运行2H，产品功能正常；
6.浪涌验证：该方案产品分别在浪涌4000V,4300V,4800V下冲击测试，4800V出现保险电阻损坏失效现象，更换保险电阻后产品功能恢复正常；
结论：该方案灯具为额定电压220-240V，浪涌4000V普通款灯具，灯珠烧毁是俄罗斯（中亚）现场多重复杂应力叠加导致（电压波动+浪涌冲击+温差大），其综合严酷程度远高于单一实验室测试条件，最终造成驱动器件损伤及灯珠永久性烧毁</t>
  </si>
  <si>
    <t>其它</t>
  </si>
  <si>
    <t>1. 完成失效样品分析，明确失效模式。
2. 开展实验室模拟验证，确认产品在各应力条件下的表现。
3. 为客户提供技术支持与现场工况分析，协助排查供电环境。</t>
  </si>
  <si>
    <t>1.明确产品适用工况范围，规范应用场景说明；
2.建议客户现场完善外部浪涌防护、接地及线路稳压措施；
3.后续项目对于客户终端现场工况严酷场景，可根据客户提供实际工况设计产品方案</t>
  </si>
  <si>
    <t>W25M175-2</t>
  </si>
  <si>
    <t>A60-9.5W-3000K</t>
  </si>
  <si>
    <t>克罗地亚019</t>
  </si>
  <si>
    <t>颜静雯</t>
  </si>
  <si>
    <t>李宁</t>
  </si>
  <si>
    <t>吸塑标贴大批量贴错（305-713 24新款的贴成了305-812）</t>
  </si>
  <si>
    <t>经调查，9.5W-3000K产品吸膜标贴错误使用8.5W-4000K外箱标贴，两款为同一产线生产，且上线入库时间接近，且两种标贴大小一致，现场未做好标贴管控，导致混用</t>
  </si>
  <si>
    <t>1.库存排查：无库存
2.待产订单W26M008，暂未上线，计划如右图
3.客诉信息内部宣导培</t>
  </si>
  <si>
    <t>1.物料员在仓库领料到车间备料区，严格核对标签物料号，标签必须放置在外箱托盘上面，吸膜标签与中盒标签放置彩盒托盘上面
2.标签上线时，车间多能工再次核对物料号，上交员工先把外箱标签一次性贴完，损耗多余的在现场马上处理掉，不允许存放，吸膜标签打包工在随线生产；
3.员工在生产时必须自检</t>
  </si>
  <si>
    <t>O25H050-1</t>
  </si>
  <si>
    <t>C37 8W 3000K/6500K E14</t>
  </si>
  <si>
    <t>罗马尼亚011</t>
  </si>
  <si>
    <t>合同要求尺寸高度116±3mm，实测106mm</t>
  </si>
  <si>
    <t>5000+4000</t>
  </si>
  <si>
    <t>BOM总尺寸:灯头17+灯杯39+泡壳49=105mm，该款与希腊208产品LB1203C-8W2-G8H-208所使用物料（灯头、灯杯、泡壳)一致，而希腊208总尺寸要求为106±3mm
结论：设计尺寸与合同资料不符</t>
  </si>
  <si>
    <t>客户要求赔偿，与客户协商沟通</t>
  </si>
  <si>
    <t>与客户协商变更合同尺寸高度要求为106±3mm</t>
  </si>
  <si>
    <t>是</t>
  </si>
  <si>
    <t>标准升级</t>
  </si>
  <si>
    <t>研发六</t>
  </si>
  <si>
    <t>EIW 1002 BR</t>
  </si>
  <si>
    <t>客户反馈打开塑封及彩盒发现内部虫尸及活幼虫</t>
  </si>
  <si>
    <t>该异常为单个产品偶发虫害入侵彩盒内部，可能原因如下：
1. 彩盒来料无密封包装，运输、仓储环节存在虫害侵入风险 
2. 包材仓储防虫管控缺失，无灭蚊灯等防虫设施及日常点检机制
3. 彩盒来料周期管控不到位，仓储滞留时间过长 
4. 现场多余原材料、成品滞留，形成虫害滋生环境
5.客户端拆封后储存环境虫害入侵</t>
  </si>
  <si>
    <t>立即对厂内彩盒来料、包材仓库、生产现场、成品库存开展全面排查，异常物料、成品立即隔离管控。
排查结果：未发现虫害污染现象</t>
  </si>
  <si>
    <t>1.包材仓储固化灭蚊灯及点检表管理，常态化落实防虫管控2. 强制要求彩盒供应商来料必须做密封包装，未密封的来料直接拒收3. 严格执行彩盒来料周期管理，齐套时间前1周到料，严控仓储滞留时间，提前到料仓库拒收4. 产线日清日洁要求标准化，每日例会复盘工单完成情况，分析超期原因，长期刚性执行，避免现场物料及成品长时间滞留车间</t>
  </si>
  <si>
    <t>存储/防护升级</t>
  </si>
  <si>
    <t>O25H033-1</t>
  </si>
  <si>
    <t>T40-8W</t>
  </si>
  <si>
    <t>客诉反馈49PCS灯不亮</t>
  </si>
  <si>
    <t>端子引脚脱焊，锡量偏少，趴锡不足，原钢网厚度0.12mm</t>
  </si>
  <si>
    <t>退换货处理</t>
  </si>
  <si>
    <t>重开钢网，增加钢网厚度，由0.12mm变更为0.15mm</t>
  </si>
  <si>
    <t>W25D101</t>
  </si>
  <si>
    <r>
      <rPr>
        <sz val="10"/>
        <color rgb="FF000000"/>
        <rFont val="黑体"/>
        <charset val="134"/>
      </rPr>
      <t>LG157C-50W2-PC-SH</t>
    </r>
    <r>
      <rPr>
        <sz val="10"/>
        <color rgb="FF000000"/>
        <rFont val="Arial"/>
        <charset val="134"/>
      </rPr>
      <t>_x0002_</t>
    </r>
    <r>
      <rPr>
        <sz val="10"/>
        <color rgb="FF000000"/>
        <rFont val="黑体"/>
        <charset val="134"/>
      </rPr>
      <t>G3</t>
    </r>
  </si>
  <si>
    <t>订单数量304，客户反馈短装2pcs</t>
  </si>
  <si>
    <t>经查订单304PCS，实际生产305PCS，当日生产完成无维修不良遗留；1月15日上午检验合格入库，仓库留存备品1个。产品标准每箱装8pcs，单箱净重10.7kg、毛重13kg。客户过往有同类数量短装投诉记录，其他客户暂未反馈同类异常：
1.目前依靠人工装箱点数，无重量复核校验手段，存在人为点数疏漏风险。
2.产品单体体积偏大，少装2个的作业失误概率偏低，但缺乏物理核验手段，无法有效规避数量争议。
3.未有整箱称重留底记录，发生客诉时缺少可追溯举证依据。</t>
  </si>
  <si>
    <t>产品补货2pcs</t>
  </si>
  <si>
    <t>1.强化装箱作业人员数量管控意识，规范操作，减少人为疏忽造成的短装；
2.产品封箱完成后，按箱号对应每箱称重并拍照留底；（车间执行）
3.检验员整理每箱称重照片并上传至系统与验货报告同步保存，做到批次、箱号、重量可追溯（检验员跟踪留底保存）</t>
  </si>
  <si>
    <t>生产三</t>
  </si>
  <si>
    <t>M25A031</t>
  </si>
  <si>
    <t>EIW 1006 BR</t>
  </si>
  <si>
    <t>1. 玻璃面盖有白点
2. 导光板脱落移位到其他导光板上，且产品存在半开状态</t>
  </si>
  <si>
    <t>产品1月生产，3-4月已反馈过同类问题进行改善，白点为油墨涂层缺陷，导光板位移为a.导光板贴反后装配过程受力位移导致
b.自验及客验面板拆卸后复原过程受力位移导致（本次客诉产品处于半开状态）</t>
  </si>
  <si>
    <t>库存六开产品M26A003-1 EIW 1006 PT返工全检玻璃面板外观及功能测试</t>
  </si>
  <si>
    <t>1.供应商改善，产线自检
2.导光板正面增加打点标记</t>
  </si>
  <si>
    <t>F226Z001</t>
  </si>
  <si>
    <t>GU10 5W 3000K/4000K/6500K</t>
  </si>
  <si>
    <t>中国1224</t>
  </si>
  <si>
    <t>订单:F226Z001-1
型号:GU10 5W 6500K/4000K/3000K
订单数量：2025+3025+5025PCS
问题描述：
1. 铝基板歪斜，透镜易脱落
2. 个别灯具透镜缺失
3. 部分灯具不亮、敲击闪烁
4. 6500K灯具接触不良不亮
5. 色温混装（4000K混装6500K）
6. 金属插脚不平整、有突出
7. 1000个3000K无灯印产品返工出货</t>
  </si>
  <si>
    <t>5025+3025+2025</t>
  </si>
  <si>
    <t>安规</t>
  </si>
  <si>
    <t>1. 交期紧急，胶水未固化即发货，散件倒置运输震动，导致铝基板歪斜、透镜脱落、接触不良、灯不亮/闪烁
2. 无透镜拉力标准，装配不牢，出现透镜缺失
3. 未按色温分区包装，赶货操作疏忽，造成色温混装
4. 工艺单未明确无灯印要求，信息传达不到位，产品返工</t>
  </si>
  <si>
    <t>不良退货返工</t>
  </si>
  <si>
    <t>1. 优化排产，预留胶水固化时间，严禁赶交期生产    
2. 制定透镜拉力标准≥30N（内控≥40N）
3. 打胶由300°改为360°，增加等离子表面处理（等离子设备增加预期完成时间2026/7/20)
4. 客户特殊要求工艺单资料明确，临时增加要求需正式邮件通知计划、生产、品质等相关人员</t>
  </si>
  <si>
    <t>W26M008-1</t>
  </si>
  <si>
    <t>A80-20W-6500K</t>
  </si>
  <si>
    <t>订单:W26M008-1
型号:A80-20W-6500K
订单数量：3000pcs
问题描述：包装热缩方式错误，要求每5pcs一包热缩，实际每10pcs一包热缩</t>
  </si>
  <si>
    <t>订单W26M008-1所有款式包装热缩方式除A80-20W-6500K为5pcs/包，其余均为10pcs/包，生产及检验未详细核对工艺单、确认包装热缩方式，导致漏检批量流出</t>
  </si>
  <si>
    <t>同批次其他款式包装方式排查，在制订单排查（无）</t>
  </si>
  <si>
    <t>1.所有订单上线前，生产与IPQC分别核对工艺单包装规格，首件必须确认包装数量；
2.IPQC巡检增加包装数量核对项，每批次不定时抽查，异常立即停线；
3.定期组织检验方法、工艺单核对、质量意识培训，强化全员质量意识
4.检验组长对相关IPQC/FQC单独辅导，连续1周稽查其检验记录，确保执行到位。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</si>
</sst>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theme="1"/>
      <name val="黑体"/>
      <charset val="134"/>
    </font>
    <font>
      <b/>
      <sz val="10"/>
      <color indexed="8"/>
      <name val="黑体"/>
      <charset val="134"/>
    </font>
    <font>
      <b/>
      <sz val="10"/>
      <name val="黑体"/>
      <charset val="134"/>
    </font>
    <font>
      <sz val="10"/>
      <color theme="1"/>
      <name val="黑体"/>
      <charset val="134"/>
    </font>
    <font>
      <sz val="10"/>
      <color indexed="8"/>
      <name val="黑体"/>
      <charset val="134"/>
    </font>
    <font>
      <sz val="10"/>
      <color rgb="FF000000"/>
      <name val="黑体"/>
      <charset val="134"/>
    </font>
    <font>
      <sz val="10"/>
      <color rgb="FFFF000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Arial"/>
      <charset val="134"/>
    </font>
    <font>
      <b/>
      <sz val="9"/>
      <name val="宋体"/>
      <charset val="134"/>
    </font>
    <font>
      <sz val="9"/>
      <name val="宋体"/>
      <charset val="134"/>
    </font>
  </fonts>
  <fills count="37">
    <fill>
      <patternFill patternType="none"/>
    </fill>
    <fill>
      <patternFill patternType="gray125"/>
    </fill>
    <fill>
      <patternFill patternType="solid">
        <fgColor theme="9" tint="0.399395733512375"/>
        <bgColor indexed="64"/>
      </patternFill>
    </fill>
    <fill>
      <patternFill patternType="solid">
        <fgColor theme="9" tint="0.399426252021851"/>
        <bgColor indexed="64"/>
      </patternFill>
    </fill>
    <fill>
      <patternFill patternType="solid">
        <fgColor rgb="FFFFC000"/>
        <bgColor indexed="64"/>
      </patternFill>
    </fill>
    <fill>
      <patternFill patternType="solid">
        <fgColor theme="0" tint="-0.1496627704702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7" borderId="5" applyNumberFormat="0" applyAlignment="0" applyProtection="0">
      <alignment vertical="center"/>
    </xf>
    <xf numFmtId="0" fontId="17" fillId="8" borderId="6" applyNumberFormat="0" applyAlignment="0" applyProtection="0">
      <alignment vertical="center"/>
    </xf>
    <xf numFmtId="0" fontId="18" fillId="8" borderId="5" applyNumberFormat="0" applyAlignment="0" applyProtection="0">
      <alignment vertical="center"/>
    </xf>
    <xf numFmtId="0" fontId="19" fillId="9"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22">
    <xf numFmtId="0" fontId="0" fillId="0" borderId="0" xfId="0">
      <alignment vertical="center"/>
    </xf>
    <xf numFmtId="0" fontId="1" fillId="0" borderId="0" xfId="0" applyFont="1" applyAlignment="1" applyProtection="1">
      <alignment horizontal="center" vertical="center"/>
      <protection locked="0"/>
    </xf>
    <xf numFmtId="0" fontId="1" fillId="0" borderId="0" xfId="0" applyFont="1" applyAlignment="1">
      <alignment horizontal="center" vertical="center"/>
    </xf>
    <xf numFmtId="10" fontId="1" fillId="0" borderId="0" xfId="0" applyNumberFormat="1" applyFont="1" applyAlignment="1" applyProtection="1">
      <alignment horizontal="center" vertical="center"/>
      <protection locked="0"/>
    </xf>
    <xf numFmtId="0" fontId="1" fillId="0" borderId="0" xfId="0" applyFont="1" applyAlignment="1" applyProtection="1">
      <alignment horizontal="left" vertical="center"/>
      <protection locked="0"/>
    </xf>
    <xf numFmtId="14" fontId="1" fillId="0" borderId="0" xfId="0" applyNumberFormat="1" applyFont="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2" fillId="2" borderId="1" xfId="0" applyFont="1" applyFill="1" applyBorder="1" applyAlignment="1">
      <alignment horizontal="center" vertical="center" wrapText="1"/>
    </xf>
    <xf numFmtId="10" fontId="2"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14" fontId="2" fillId="2"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10" fontId="4" fillId="0" borderId="1" xfId="0" applyNumberFormat="1" applyFont="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4" fillId="4"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4494;&#20449;\xwechat_files\zuocong052533_9920\msg\file\2026-06\&#23458;&#35785;&#23458;&#39564;&#38382;&#39064;&#30331;&#35760;&#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宜胜客诉台账"/>
      <sheetName val="原始缺陷代码"/>
      <sheetName val="数据源"/>
    </sheet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autoPageBreaks="0"/>
  </sheetPr>
  <dimension ref="A1:Z17"/>
  <sheetViews>
    <sheetView showGridLines="0" tabSelected="1" zoomScale="90" zoomScaleNormal="90" workbookViewId="0">
      <pane ySplit="1" topLeftCell="A9" activePane="bottomLeft" state="frozen"/>
      <selection/>
      <selection pane="bottomLeft" activeCell="J11" sqref="J11"/>
    </sheetView>
  </sheetViews>
  <sheetFormatPr defaultColWidth="9" defaultRowHeight="13.5"/>
  <cols>
    <col min="1" max="1" width="9" style="1"/>
    <col min="2" max="2" width="11.1061946902655" style="1" customWidth="1"/>
    <col min="3" max="3" width="9" style="2" customWidth="1"/>
    <col min="4" max="4" width="15.3362831858407" style="1" customWidth="1"/>
    <col min="5" max="5" width="11" style="2" hidden="1" customWidth="1"/>
    <col min="6" max="6" width="11.5044247787611" style="2" hidden="1" customWidth="1"/>
    <col min="7" max="9" width="7.66371681415929" style="2" hidden="1" customWidth="1"/>
    <col min="10" max="10" width="37.2477876106195" style="1" customWidth="1"/>
    <col min="11" max="11" width="10.6637168141593" style="1" customWidth="1"/>
    <col min="12" max="12" width="8.78761061946903" style="1" customWidth="1"/>
    <col min="13" max="13" width="9.96460176991151" style="3" customWidth="1"/>
    <col min="14" max="15" width="11" style="1" customWidth="1"/>
    <col min="16" max="16" width="31.858407079646" style="1" customWidth="1"/>
    <col min="17" max="17" width="11" style="1" customWidth="1"/>
    <col min="18" max="18" width="16.4424778761062" style="1" customWidth="1"/>
    <col min="19" max="19" width="34.8938053097345" style="4" customWidth="1"/>
    <col min="20" max="20" width="8.41592920353982" style="1" customWidth="1"/>
    <col min="21" max="22" width="5.88495575221239" style="1" customWidth="1"/>
    <col min="23" max="23" width="11" style="1" customWidth="1"/>
    <col min="24" max="24" width="11.4424778761062" style="1" customWidth="1"/>
    <col min="25" max="25" width="12.3362831858407" style="5" customWidth="1"/>
    <col min="26" max="26" width="10.1061946902655" style="5" customWidth="1"/>
    <col min="27" max="16384" width="9" style="1"/>
  </cols>
  <sheetData>
    <row r="1" ht="37.05" customHeight="1" spans="1:26">
      <c r="A1" s="6" t="s">
        <v>0</v>
      </c>
      <c r="B1" s="7" t="s">
        <v>1</v>
      </c>
      <c r="C1" s="7" t="s">
        <v>2</v>
      </c>
      <c r="D1" s="7" t="s">
        <v>3</v>
      </c>
      <c r="E1" s="7" t="s">
        <v>4</v>
      </c>
      <c r="F1" s="7" t="s">
        <v>5</v>
      </c>
      <c r="G1" s="7" t="s">
        <v>6</v>
      </c>
      <c r="H1" s="7" t="s">
        <v>7</v>
      </c>
      <c r="I1" s="7" t="s">
        <v>8</v>
      </c>
      <c r="J1" s="7" t="s">
        <v>9</v>
      </c>
      <c r="K1" s="7" t="s">
        <v>10</v>
      </c>
      <c r="L1" s="7" t="s">
        <v>11</v>
      </c>
      <c r="M1" s="8" t="s">
        <v>12</v>
      </c>
      <c r="N1" s="7" t="s">
        <v>13</v>
      </c>
      <c r="O1" s="7" t="s">
        <v>14</v>
      </c>
      <c r="P1" s="7" t="s">
        <v>15</v>
      </c>
      <c r="Q1" s="9" t="s">
        <v>16</v>
      </c>
      <c r="R1" s="7" t="s">
        <v>17</v>
      </c>
      <c r="S1" s="10" t="s">
        <v>18</v>
      </c>
      <c r="T1" s="7" t="s">
        <v>19</v>
      </c>
      <c r="U1" s="7" t="s">
        <v>20</v>
      </c>
      <c r="V1" s="7" t="s">
        <v>21</v>
      </c>
      <c r="W1" s="7" t="s">
        <v>22</v>
      </c>
      <c r="X1" s="11" t="s">
        <v>23</v>
      </c>
      <c r="Y1" s="11" t="s">
        <v>24</v>
      </c>
      <c r="Z1" s="7" t="s">
        <v>25</v>
      </c>
    </row>
    <row r="2" ht="119" customHeight="1" spans="1:26">
      <c r="A2" s="6">
        <v>1</v>
      </c>
      <c r="B2" s="12">
        <v>46027</v>
      </c>
      <c r="C2" s="13"/>
      <c r="D2" s="14" t="s">
        <v>26</v>
      </c>
      <c r="E2" s="14" t="s">
        <v>27</v>
      </c>
      <c r="F2" s="15" t="s">
        <v>28</v>
      </c>
      <c r="G2" s="15" t="s">
        <v>29</v>
      </c>
      <c r="H2" s="15" t="s">
        <v>30</v>
      </c>
      <c r="I2" s="15" t="s">
        <v>31</v>
      </c>
      <c r="J2" s="16" t="s">
        <v>32</v>
      </c>
      <c r="K2" s="15"/>
      <c r="L2" s="15"/>
      <c r="M2" s="17" t="str">
        <f>IFERROR(L2/K2,"")</f>
        <v/>
      </c>
      <c r="N2" s="15" t="s">
        <v>33</v>
      </c>
      <c r="O2" s="15" t="s">
        <v>34</v>
      </c>
      <c r="P2" s="18" t="s">
        <v>35</v>
      </c>
      <c r="Q2" s="15" t="s">
        <v>36</v>
      </c>
      <c r="R2" s="16" t="s">
        <v>37</v>
      </c>
      <c r="S2" s="16" t="s">
        <v>38</v>
      </c>
      <c r="T2" s="15" t="s">
        <v>39</v>
      </c>
      <c r="U2" s="16" t="s">
        <v>40</v>
      </c>
      <c r="V2" s="15" t="s">
        <v>28</v>
      </c>
      <c r="W2" s="15" t="s">
        <v>41</v>
      </c>
      <c r="X2" s="12">
        <v>46029</v>
      </c>
      <c r="Y2" s="12">
        <v>46029</v>
      </c>
      <c r="Z2" s="19" t="str">
        <f ca="1" t="shared" ref="Z2:Z17" si="0">IF(B2="","",_xlfn.IFS(AND(X2=0,Y2=0),"未回复",AND(Y2&lt;&gt;0,X2=0),"报错",AND(X2&gt;=NOW(),X2&lt;&gt;0,Y2=0),"正常进行中",AND(Y2&lt;&gt;0,X2&gt;=Y2),"按时关闭",AND(X2&lt;&gt;0,X2&lt;=Y2),"延期关闭",AND(Y2=0,X2&lt;NOW()),"延期未关闭"))</f>
        <v>按时关闭</v>
      </c>
    </row>
    <row r="3" ht="126" customHeight="1" spans="1:26">
      <c r="A3" s="6">
        <v>2</v>
      </c>
      <c r="B3" s="12">
        <v>46050</v>
      </c>
      <c r="C3" s="13" t="s">
        <v>42</v>
      </c>
      <c r="D3" s="14" t="s">
        <v>43</v>
      </c>
      <c r="E3" s="14" t="s">
        <v>44</v>
      </c>
      <c r="F3" s="15" t="s">
        <v>45</v>
      </c>
      <c r="G3" s="15" t="s">
        <v>46</v>
      </c>
      <c r="H3" s="15" t="s">
        <v>47</v>
      </c>
      <c r="I3" s="15" t="s">
        <v>48</v>
      </c>
      <c r="J3" s="16" t="s">
        <v>49</v>
      </c>
      <c r="K3" s="15"/>
      <c r="L3" s="15">
        <v>31</v>
      </c>
      <c r="M3" s="17" t="str">
        <f>IFERROR(L3/K3,"")</f>
        <v/>
      </c>
      <c r="N3" s="15" t="s">
        <v>33</v>
      </c>
      <c r="O3" s="15" t="s">
        <v>50</v>
      </c>
      <c r="P3" s="16" t="s">
        <v>51</v>
      </c>
      <c r="Q3" s="15" t="s">
        <v>36</v>
      </c>
      <c r="R3" s="16" t="s">
        <v>52</v>
      </c>
      <c r="S3" s="16" t="s">
        <v>53</v>
      </c>
      <c r="T3" s="15" t="s">
        <v>39</v>
      </c>
      <c r="U3" s="16" t="s">
        <v>54</v>
      </c>
      <c r="V3" s="15" t="s">
        <v>55</v>
      </c>
      <c r="W3" s="15" t="s">
        <v>56</v>
      </c>
      <c r="X3" s="12">
        <v>46052</v>
      </c>
      <c r="Y3" s="12">
        <v>46052</v>
      </c>
      <c r="Z3" s="19" t="str">
        <f ca="1" t="shared" si="0"/>
        <v>按时关闭</v>
      </c>
    </row>
    <row r="4" ht="110" customHeight="1" spans="1:26">
      <c r="A4" s="6">
        <v>3</v>
      </c>
      <c r="B4" s="12">
        <v>46048</v>
      </c>
      <c r="C4" s="13" t="s">
        <v>57</v>
      </c>
      <c r="D4" s="14" t="s">
        <v>58</v>
      </c>
      <c r="E4" s="14" t="s">
        <v>27</v>
      </c>
      <c r="F4" s="15" t="s">
        <v>28</v>
      </c>
      <c r="G4" s="15" t="s">
        <v>29</v>
      </c>
      <c r="H4" s="15" t="s">
        <v>30</v>
      </c>
      <c r="I4" s="15" t="s">
        <v>31</v>
      </c>
      <c r="J4" s="16" t="s">
        <v>59</v>
      </c>
      <c r="K4" s="15">
        <v>2000</v>
      </c>
      <c r="L4" s="15">
        <v>4</v>
      </c>
      <c r="M4" s="17">
        <v>0.01</v>
      </c>
      <c r="N4" s="15" t="s">
        <v>33</v>
      </c>
      <c r="O4" s="15" t="s">
        <v>50</v>
      </c>
      <c r="P4" s="15" t="s">
        <v>60</v>
      </c>
      <c r="Q4" s="15" t="s">
        <v>36</v>
      </c>
      <c r="R4" s="15" t="s">
        <v>61</v>
      </c>
      <c r="S4" s="16" t="s">
        <v>62</v>
      </c>
      <c r="T4" s="15" t="s">
        <v>39</v>
      </c>
      <c r="U4" s="16" t="s">
        <v>40</v>
      </c>
      <c r="V4" s="15" t="s">
        <v>28</v>
      </c>
      <c r="W4" s="15" t="s">
        <v>41</v>
      </c>
      <c r="X4" s="12">
        <v>46051</v>
      </c>
      <c r="Y4" s="12">
        <v>46051</v>
      </c>
      <c r="Z4" s="19" t="str">
        <f ca="1" t="shared" si="0"/>
        <v>按时关闭</v>
      </c>
    </row>
    <row r="5" ht="96" customHeight="1" spans="1:26">
      <c r="A5" s="6">
        <v>4</v>
      </c>
      <c r="B5" s="12">
        <v>46085</v>
      </c>
      <c r="C5" s="13" t="s">
        <v>63</v>
      </c>
      <c r="D5" s="14" t="s">
        <v>64</v>
      </c>
      <c r="E5" s="14" t="s">
        <v>27</v>
      </c>
      <c r="F5" s="15" t="s">
        <v>28</v>
      </c>
      <c r="G5" s="15" t="s">
        <v>29</v>
      </c>
      <c r="H5" s="15" t="s">
        <v>30</v>
      </c>
      <c r="I5" s="15" t="s">
        <v>31</v>
      </c>
      <c r="J5" s="16" t="s">
        <v>65</v>
      </c>
      <c r="K5" s="15">
        <v>3885</v>
      </c>
      <c r="L5" s="15">
        <v>6</v>
      </c>
      <c r="M5" s="17">
        <f t="shared" ref="M5:M10" si="1">IFERROR(L5/K5,"")</f>
        <v>0.00154440154440154</v>
      </c>
      <c r="N5" s="15" t="s">
        <v>33</v>
      </c>
      <c r="O5" s="15" t="s">
        <v>66</v>
      </c>
      <c r="P5" s="16" t="s">
        <v>67</v>
      </c>
      <c r="Q5" s="15" t="s">
        <v>36</v>
      </c>
      <c r="R5" s="16" t="s">
        <v>68</v>
      </c>
      <c r="S5" s="16" t="s">
        <v>69</v>
      </c>
      <c r="T5" s="15" t="s">
        <v>39</v>
      </c>
      <c r="U5" s="16" t="s">
        <v>40</v>
      </c>
      <c r="V5" s="15" t="s">
        <v>28</v>
      </c>
      <c r="W5" s="15" t="s">
        <v>41</v>
      </c>
      <c r="X5" s="12">
        <v>46090</v>
      </c>
      <c r="Y5" s="12">
        <v>46090</v>
      </c>
      <c r="Z5" s="19" t="str">
        <f ca="1" t="shared" si="0"/>
        <v>按时关闭</v>
      </c>
    </row>
    <row r="6" ht="242.25" spans="1:26">
      <c r="A6" s="6">
        <v>5</v>
      </c>
      <c r="B6" s="12">
        <v>46094</v>
      </c>
      <c r="C6" s="13" t="s">
        <v>70</v>
      </c>
      <c r="D6" s="14" t="s">
        <v>71</v>
      </c>
      <c r="E6" s="14" t="s">
        <v>27</v>
      </c>
      <c r="F6" s="15" t="s">
        <v>28</v>
      </c>
      <c r="G6" s="15" t="s">
        <v>29</v>
      </c>
      <c r="H6" s="15" t="s">
        <v>30</v>
      </c>
      <c r="I6" s="15" t="s">
        <v>31</v>
      </c>
      <c r="J6" s="16" t="s">
        <v>72</v>
      </c>
      <c r="K6" s="15"/>
      <c r="L6" s="15"/>
      <c r="M6" s="17">
        <v>0.04</v>
      </c>
      <c r="N6" s="15" t="s">
        <v>33</v>
      </c>
      <c r="O6" s="15" t="s">
        <v>73</v>
      </c>
      <c r="P6" s="20" t="s">
        <v>74</v>
      </c>
      <c r="Q6" s="15" t="s">
        <v>75</v>
      </c>
      <c r="R6" s="16" t="s">
        <v>76</v>
      </c>
      <c r="S6" s="16" t="s">
        <v>77</v>
      </c>
      <c r="T6" s="15" t="s">
        <v>39</v>
      </c>
      <c r="U6" s="16" t="s">
        <v>78</v>
      </c>
      <c r="V6" s="15" t="s">
        <v>79</v>
      </c>
      <c r="W6" s="15" t="s">
        <v>80</v>
      </c>
      <c r="X6" s="12">
        <v>46099</v>
      </c>
      <c r="Y6" s="12">
        <v>46099</v>
      </c>
      <c r="Z6" s="19" t="str">
        <f ca="1" t="shared" si="0"/>
        <v>按时关闭</v>
      </c>
    </row>
    <row r="7" ht="293.25" spans="1:26">
      <c r="A7" s="6">
        <v>6</v>
      </c>
      <c r="B7" s="12">
        <v>46099</v>
      </c>
      <c r="C7" s="13" t="s">
        <v>70</v>
      </c>
      <c r="D7" s="14" t="s">
        <v>81</v>
      </c>
      <c r="E7" s="14" t="s">
        <v>27</v>
      </c>
      <c r="F7" s="15" t="s">
        <v>28</v>
      </c>
      <c r="G7" s="15" t="s">
        <v>29</v>
      </c>
      <c r="H7" s="15" t="s">
        <v>30</v>
      </c>
      <c r="I7" s="15" t="s">
        <v>31</v>
      </c>
      <c r="J7" s="16" t="s">
        <v>82</v>
      </c>
      <c r="K7" s="15"/>
      <c r="L7" s="15"/>
      <c r="M7" s="17" t="str">
        <f t="shared" si="1"/>
        <v/>
      </c>
      <c r="N7" s="15" t="s">
        <v>33</v>
      </c>
      <c r="O7" s="15" t="s">
        <v>50</v>
      </c>
      <c r="P7" s="16" t="s">
        <v>83</v>
      </c>
      <c r="Q7" s="15" t="s">
        <v>36</v>
      </c>
      <c r="R7" s="16" t="s">
        <v>84</v>
      </c>
      <c r="S7" s="16" t="s">
        <v>85</v>
      </c>
      <c r="T7" s="15" t="s">
        <v>39</v>
      </c>
      <c r="U7" s="16" t="s">
        <v>86</v>
      </c>
      <c r="V7" s="15" t="s">
        <v>28</v>
      </c>
      <c r="W7" s="15" t="s">
        <v>41</v>
      </c>
      <c r="X7" s="12">
        <v>46104</v>
      </c>
      <c r="Y7" s="12">
        <v>46104</v>
      </c>
      <c r="Z7" s="19" t="str">
        <f ca="1" t="shared" si="0"/>
        <v>按时关闭</v>
      </c>
    </row>
    <row r="8" ht="99" customHeight="1" spans="1:26">
      <c r="A8" s="6">
        <v>7</v>
      </c>
      <c r="B8" s="12">
        <v>46106</v>
      </c>
      <c r="C8" s="13"/>
      <c r="D8" s="14" t="s">
        <v>87</v>
      </c>
      <c r="E8" s="14" t="s">
        <v>88</v>
      </c>
      <c r="F8" s="15" t="s">
        <v>28</v>
      </c>
      <c r="G8" s="15"/>
      <c r="H8" s="15"/>
      <c r="I8" s="15"/>
      <c r="J8" s="16" t="s">
        <v>89</v>
      </c>
      <c r="K8" s="15"/>
      <c r="L8" s="15"/>
      <c r="M8" s="17" t="str">
        <f t="shared" si="1"/>
        <v/>
      </c>
      <c r="N8" s="15" t="s">
        <v>90</v>
      </c>
      <c r="O8" s="15" t="s">
        <v>34</v>
      </c>
      <c r="P8" s="16" t="s">
        <v>91</v>
      </c>
      <c r="Q8" s="15" t="s">
        <v>92</v>
      </c>
      <c r="R8" s="16" t="s">
        <v>93</v>
      </c>
      <c r="S8" s="16" t="s">
        <v>94</v>
      </c>
      <c r="T8" s="15" t="s">
        <v>39</v>
      </c>
      <c r="U8" s="16" t="s">
        <v>40</v>
      </c>
      <c r="V8" s="15" t="s">
        <v>45</v>
      </c>
      <c r="W8" s="16" t="s">
        <v>95</v>
      </c>
      <c r="X8" s="12">
        <v>46111</v>
      </c>
      <c r="Y8" s="12">
        <v>46111</v>
      </c>
      <c r="Z8" s="19" t="str">
        <f ca="1" t="shared" si="0"/>
        <v>按时关闭</v>
      </c>
    </row>
    <row r="9" ht="129" customHeight="1" spans="1:26">
      <c r="A9" s="6">
        <v>8</v>
      </c>
      <c r="B9" s="12">
        <v>46111</v>
      </c>
      <c r="C9" s="13" t="s">
        <v>96</v>
      </c>
      <c r="D9" s="14" t="s">
        <v>97</v>
      </c>
      <c r="E9" s="14" t="s">
        <v>98</v>
      </c>
      <c r="F9" s="15" t="s">
        <v>45</v>
      </c>
      <c r="G9" s="15"/>
      <c r="H9" s="15"/>
      <c r="I9" s="15" t="s">
        <v>48</v>
      </c>
      <c r="J9" s="16" t="s">
        <v>99</v>
      </c>
      <c r="K9" s="15">
        <v>3000</v>
      </c>
      <c r="L9" s="15">
        <v>31</v>
      </c>
      <c r="M9" s="17">
        <f t="shared" si="1"/>
        <v>0.0103333333333333</v>
      </c>
      <c r="N9" s="15" t="s">
        <v>33</v>
      </c>
      <c r="O9" s="15" t="s">
        <v>34</v>
      </c>
      <c r="P9" s="16" t="s">
        <v>100</v>
      </c>
      <c r="Q9" s="15" t="s">
        <v>101</v>
      </c>
      <c r="R9" s="18" t="s">
        <v>102</v>
      </c>
      <c r="S9" s="16" t="s">
        <v>103</v>
      </c>
      <c r="T9" s="15" t="s">
        <v>39</v>
      </c>
      <c r="U9" s="16"/>
      <c r="V9" s="15"/>
      <c r="W9" s="15"/>
      <c r="X9" s="12">
        <v>46113</v>
      </c>
      <c r="Y9" s="12">
        <v>46113</v>
      </c>
      <c r="Z9" s="19" t="str">
        <f ca="1" t="shared" si="0"/>
        <v>按时关闭</v>
      </c>
    </row>
    <row r="10" ht="114.75" spans="1:26">
      <c r="A10" s="6">
        <v>9</v>
      </c>
      <c r="B10" s="12">
        <v>46112</v>
      </c>
      <c r="C10" s="13" t="s">
        <v>104</v>
      </c>
      <c r="D10" s="14" t="s">
        <v>105</v>
      </c>
      <c r="E10" s="14" t="s">
        <v>106</v>
      </c>
      <c r="F10" s="15" t="s">
        <v>28</v>
      </c>
      <c r="G10" s="15" t="s">
        <v>107</v>
      </c>
      <c r="H10" s="15"/>
      <c r="I10" s="15" t="s">
        <v>108</v>
      </c>
      <c r="J10" s="16" t="s">
        <v>109</v>
      </c>
      <c r="K10" s="15">
        <v>8000</v>
      </c>
      <c r="L10" s="15"/>
      <c r="M10" s="17">
        <f t="shared" si="1"/>
        <v>0</v>
      </c>
      <c r="N10" s="15" t="s">
        <v>33</v>
      </c>
      <c r="O10" s="15" t="s">
        <v>50</v>
      </c>
      <c r="P10" s="16" t="s">
        <v>110</v>
      </c>
      <c r="Q10" s="15" t="s">
        <v>36</v>
      </c>
      <c r="R10" s="16" t="s">
        <v>111</v>
      </c>
      <c r="S10" s="16" t="s">
        <v>112</v>
      </c>
      <c r="T10" s="15" t="s">
        <v>39</v>
      </c>
      <c r="U10" s="16" t="s">
        <v>54</v>
      </c>
      <c r="V10" s="15" t="s">
        <v>28</v>
      </c>
      <c r="W10" s="15" t="s">
        <v>41</v>
      </c>
      <c r="X10" s="12">
        <v>46114</v>
      </c>
      <c r="Y10" s="12">
        <v>46114</v>
      </c>
      <c r="Z10" s="19" t="str">
        <f ca="1" t="shared" si="0"/>
        <v>按时关闭</v>
      </c>
    </row>
    <row r="11" ht="115" customHeight="1" spans="1:26">
      <c r="A11" s="6">
        <v>10</v>
      </c>
      <c r="B11" s="12">
        <v>46126</v>
      </c>
      <c r="C11" s="13" t="s">
        <v>113</v>
      </c>
      <c r="D11" s="14" t="s">
        <v>114</v>
      </c>
      <c r="E11" s="14" t="s">
        <v>115</v>
      </c>
      <c r="F11" s="15" t="s">
        <v>28</v>
      </c>
      <c r="G11" s="15"/>
      <c r="H11" s="15"/>
      <c r="I11" s="15"/>
      <c r="J11" s="16" t="s">
        <v>116</v>
      </c>
      <c r="K11" s="15" t="s">
        <v>117</v>
      </c>
      <c r="L11" s="15"/>
      <c r="M11" s="17">
        <v>1</v>
      </c>
      <c r="N11" s="15" t="s">
        <v>33</v>
      </c>
      <c r="O11" s="15" t="s">
        <v>73</v>
      </c>
      <c r="P11" s="16" t="s">
        <v>118</v>
      </c>
      <c r="Q11" s="21" t="s">
        <v>92</v>
      </c>
      <c r="R11" s="16" t="s">
        <v>119</v>
      </c>
      <c r="S11" s="16" t="s">
        <v>120</v>
      </c>
      <c r="T11" s="15" t="s">
        <v>121</v>
      </c>
      <c r="U11" s="16" t="s">
        <v>122</v>
      </c>
      <c r="V11" s="15" t="s">
        <v>28</v>
      </c>
      <c r="W11" s="15" t="s">
        <v>123</v>
      </c>
      <c r="X11" s="12">
        <v>46135</v>
      </c>
      <c r="Y11" s="12">
        <v>46135</v>
      </c>
      <c r="Z11" s="19" t="str">
        <f ca="1" t="shared" si="0"/>
        <v>按时关闭</v>
      </c>
    </row>
    <row r="12" ht="140.25" spans="1:26">
      <c r="A12" s="6">
        <v>11</v>
      </c>
      <c r="B12" s="12">
        <v>46141</v>
      </c>
      <c r="C12" s="13" t="s">
        <v>70</v>
      </c>
      <c r="D12" s="14" t="s">
        <v>124</v>
      </c>
      <c r="E12" s="14" t="s">
        <v>27</v>
      </c>
      <c r="F12" s="15" t="s">
        <v>28</v>
      </c>
      <c r="G12" s="15" t="s">
        <v>29</v>
      </c>
      <c r="H12" s="15"/>
      <c r="I12" s="15" t="s">
        <v>31</v>
      </c>
      <c r="J12" s="16" t="s">
        <v>125</v>
      </c>
      <c r="K12" s="15" t="s">
        <v>33</v>
      </c>
      <c r="L12" s="15"/>
      <c r="M12" s="17" t="str">
        <f t="shared" ref="M12:M15" si="2">IFERROR(L12/K12,"")</f>
        <v/>
      </c>
      <c r="N12" s="15" t="s">
        <v>33</v>
      </c>
      <c r="O12" s="15" t="s">
        <v>50</v>
      </c>
      <c r="P12" s="16" t="s">
        <v>126</v>
      </c>
      <c r="Q12" s="15" t="s">
        <v>101</v>
      </c>
      <c r="R12" s="16" t="s">
        <v>127</v>
      </c>
      <c r="S12" s="16" t="s">
        <v>128</v>
      </c>
      <c r="T12" s="15" t="s">
        <v>39</v>
      </c>
      <c r="U12" s="16" t="s">
        <v>129</v>
      </c>
      <c r="V12" s="15" t="s">
        <v>28</v>
      </c>
      <c r="W12" s="15" t="s">
        <v>41</v>
      </c>
      <c r="X12" s="12">
        <v>46150</v>
      </c>
      <c r="Y12" s="12">
        <v>46150</v>
      </c>
      <c r="Z12" s="19" t="str">
        <f ca="1" t="shared" si="0"/>
        <v>按时关闭</v>
      </c>
    </row>
    <row r="13" ht="60" customHeight="1" spans="1:26">
      <c r="A13" s="6">
        <v>12</v>
      </c>
      <c r="B13" s="12">
        <v>46142</v>
      </c>
      <c r="C13" s="13" t="s">
        <v>130</v>
      </c>
      <c r="D13" s="14" t="s">
        <v>131</v>
      </c>
      <c r="E13" s="14" t="s">
        <v>115</v>
      </c>
      <c r="F13" s="15" t="s">
        <v>28</v>
      </c>
      <c r="G13" s="15"/>
      <c r="H13" s="15"/>
      <c r="I13" s="15" t="s">
        <v>108</v>
      </c>
      <c r="J13" s="16" t="s">
        <v>132</v>
      </c>
      <c r="K13" s="15">
        <v>4000</v>
      </c>
      <c r="L13" s="15">
        <v>49</v>
      </c>
      <c r="M13" s="17">
        <f t="shared" si="2"/>
        <v>0.01225</v>
      </c>
      <c r="N13" s="15" t="s">
        <v>33</v>
      </c>
      <c r="O13" s="15" t="s">
        <v>34</v>
      </c>
      <c r="P13" s="16" t="s">
        <v>133</v>
      </c>
      <c r="Q13" s="15" t="s">
        <v>92</v>
      </c>
      <c r="R13" s="16" t="s">
        <v>134</v>
      </c>
      <c r="S13" s="16" t="s">
        <v>135</v>
      </c>
      <c r="T13" s="15" t="s">
        <v>39</v>
      </c>
      <c r="U13" s="16" t="s">
        <v>40</v>
      </c>
      <c r="V13" s="15" t="s">
        <v>28</v>
      </c>
      <c r="W13" s="15" t="s">
        <v>41</v>
      </c>
      <c r="X13" s="12">
        <v>46150</v>
      </c>
      <c r="Y13" s="12">
        <v>46150</v>
      </c>
      <c r="Z13" s="19" t="str">
        <f ca="1" t="shared" si="0"/>
        <v>按时关闭</v>
      </c>
    </row>
    <row r="14" ht="191.25" spans="1:26">
      <c r="A14" s="6">
        <v>13</v>
      </c>
      <c r="B14" s="12">
        <v>46149</v>
      </c>
      <c r="C14" s="13" t="s">
        <v>136</v>
      </c>
      <c r="D14" s="14" t="s">
        <v>137</v>
      </c>
      <c r="E14" s="14" t="s">
        <v>106</v>
      </c>
      <c r="F14" s="15" t="s">
        <v>45</v>
      </c>
      <c r="G14" s="15"/>
      <c r="H14" s="15"/>
      <c r="I14" s="15" t="s">
        <v>108</v>
      </c>
      <c r="J14" s="16" t="s">
        <v>138</v>
      </c>
      <c r="K14" s="15">
        <v>304</v>
      </c>
      <c r="L14" s="15">
        <v>2</v>
      </c>
      <c r="M14" s="17">
        <f t="shared" si="2"/>
        <v>0.00657894736842105</v>
      </c>
      <c r="N14" s="15" t="s">
        <v>33</v>
      </c>
      <c r="O14" s="15" t="s">
        <v>50</v>
      </c>
      <c r="P14" s="16" t="s">
        <v>139</v>
      </c>
      <c r="Q14" s="15" t="s">
        <v>36</v>
      </c>
      <c r="R14" s="16" t="s">
        <v>140</v>
      </c>
      <c r="S14" s="16" t="s">
        <v>141</v>
      </c>
      <c r="T14" s="15" t="s">
        <v>39</v>
      </c>
      <c r="U14" s="16" t="s">
        <v>40</v>
      </c>
      <c r="V14" s="15" t="s">
        <v>45</v>
      </c>
      <c r="W14" s="15" t="s">
        <v>142</v>
      </c>
      <c r="X14" s="12">
        <v>46150</v>
      </c>
      <c r="Y14" s="12">
        <v>46150</v>
      </c>
      <c r="Z14" s="19" t="str">
        <f ca="1" t="shared" si="0"/>
        <v>按时关闭</v>
      </c>
    </row>
    <row r="15" ht="89.25" spans="1:26">
      <c r="A15" s="6">
        <v>14</v>
      </c>
      <c r="B15" s="12">
        <v>46154</v>
      </c>
      <c r="C15" s="13" t="s">
        <v>143</v>
      </c>
      <c r="D15" s="14" t="s">
        <v>144</v>
      </c>
      <c r="E15" s="14" t="s">
        <v>27</v>
      </c>
      <c r="F15" s="15" t="s">
        <v>28</v>
      </c>
      <c r="G15" s="15"/>
      <c r="H15" s="15"/>
      <c r="I15" s="15"/>
      <c r="J15" s="16" t="s">
        <v>145</v>
      </c>
      <c r="K15" s="15"/>
      <c r="L15" s="15">
        <v>2</v>
      </c>
      <c r="M15" s="17" t="str">
        <f t="shared" si="2"/>
        <v/>
      </c>
      <c r="N15" s="15" t="s">
        <v>33</v>
      </c>
      <c r="O15" s="15" t="s">
        <v>34</v>
      </c>
      <c r="P15" s="16" t="s">
        <v>146</v>
      </c>
      <c r="Q15" s="15" t="s">
        <v>75</v>
      </c>
      <c r="R15" s="16" t="s">
        <v>147</v>
      </c>
      <c r="S15" s="16" t="s">
        <v>148</v>
      </c>
      <c r="T15" s="15" t="s">
        <v>39</v>
      </c>
      <c r="U15" s="16" t="s">
        <v>54</v>
      </c>
      <c r="V15" s="15" t="s">
        <v>28</v>
      </c>
      <c r="W15" s="15" t="s">
        <v>41</v>
      </c>
      <c r="X15" s="12">
        <v>46154</v>
      </c>
      <c r="Y15" s="12">
        <v>46154</v>
      </c>
      <c r="Z15" s="19" t="str">
        <f ca="1" t="shared" si="0"/>
        <v>按时关闭</v>
      </c>
    </row>
    <row r="16" ht="150" customHeight="1" spans="1:26">
      <c r="A16" s="6">
        <v>15</v>
      </c>
      <c r="B16" s="12">
        <v>46157</v>
      </c>
      <c r="C16" s="13" t="s">
        <v>149</v>
      </c>
      <c r="D16" s="14" t="s">
        <v>150</v>
      </c>
      <c r="E16" s="14" t="s">
        <v>151</v>
      </c>
      <c r="F16" s="15" t="s">
        <v>28</v>
      </c>
      <c r="G16" s="15"/>
      <c r="H16" s="15"/>
      <c r="I16" s="15"/>
      <c r="J16" s="16" t="s">
        <v>152</v>
      </c>
      <c r="K16" s="15" t="s">
        <v>153</v>
      </c>
      <c r="L16" s="15">
        <v>582</v>
      </c>
      <c r="M16" s="17">
        <v>0.0578</v>
      </c>
      <c r="N16" s="15" t="s">
        <v>33</v>
      </c>
      <c r="O16" s="15" t="s">
        <v>154</v>
      </c>
      <c r="P16" s="16" t="s">
        <v>155</v>
      </c>
      <c r="Q16" s="15" t="s">
        <v>36</v>
      </c>
      <c r="R16" s="16" t="s">
        <v>156</v>
      </c>
      <c r="S16" s="16" t="s">
        <v>157</v>
      </c>
      <c r="T16" s="15" t="s">
        <v>39</v>
      </c>
      <c r="U16" s="16" t="s">
        <v>40</v>
      </c>
      <c r="V16" s="15" t="s">
        <v>28</v>
      </c>
      <c r="W16" s="15" t="s">
        <v>41</v>
      </c>
      <c r="X16" s="12">
        <v>46162</v>
      </c>
      <c r="Y16" s="12">
        <v>46162</v>
      </c>
      <c r="Z16" s="19" t="str">
        <f ca="1" t="shared" si="0"/>
        <v>按时关闭</v>
      </c>
    </row>
    <row r="17" ht="114.75" spans="1:26">
      <c r="A17" s="6">
        <v>16</v>
      </c>
      <c r="B17" s="12">
        <v>46160</v>
      </c>
      <c r="C17" s="13" t="s">
        <v>158</v>
      </c>
      <c r="D17" s="14" t="s">
        <v>159</v>
      </c>
      <c r="E17" s="14" t="s">
        <v>106</v>
      </c>
      <c r="F17" s="15" t="s">
        <v>28</v>
      </c>
      <c r="G17" s="15"/>
      <c r="H17" s="15"/>
      <c r="I17" s="15" t="s">
        <v>108</v>
      </c>
      <c r="J17" s="16" t="s">
        <v>160</v>
      </c>
      <c r="K17" s="15">
        <v>3000</v>
      </c>
      <c r="L17" s="15">
        <v>3000</v>
      </c>
      <c r="M17" s="17">
        <f>IFERROR(L17/K17,"")</f>
        <v>1</v>
      </c>
      <c r="N17" s="15" t="s">
        <v>33</v>
      </c>
      <c r="O17" s="15" t="s">
        <v>50</v>
      </c>
      <c r="P17" s="16" t="s">
        <v>161</v>
      </c>
      <c r="Q17" s="15" t="s">
        <v>36</v>
      </c>
      <c r="R17" s="16" t="s">
        <v>162</v>
      </c>
      <c r="S17" s="16" t="s">
        <v>163</v>
      </c>
      <c r="T17" s="15" t="s">
        <v>39</v>
      </c>
      <c r="U17" s="16" t="s">
        <v>54</v>
      </c>
      <c r="V17" s="15" t="s">
        <v>28</v>
      </c>
      <c r="W17" s="15" t="s">
        <v>41</v>
      </c>
      <c r="X17" s="12">
        <v>46161</v>
      </c>
      <c r="Y17" s="12">
        <v>46161</v>
      </c>
      <c r="Z17" s="19" t="str">
        <f ca="1" t="shared" si="0"/>
        <v>按时关闭</v>
      </c>
    </row>
  </sheetData>
  <sheetProtection selectLockedCells="1" formatRows="0"/>
  <autoFilter xmlns:etc="http://www.wps.cn/officeDocument/2017/etCustomData" ref="B1:AC17" etc:filterBottomFollowUsedRange="0">
    <extLst/>
  </autoFilter>
  <dataValidations count="2">
    <dataValidation type="list" allowBlank="1" showInputMessage="1" showErrorMessage="1" sqref="T2:T17">
      <formula1>"是,否"</formula1>
    </dataValidation>
    <dataValidation type="list" allowBlank="1" showInputMessage="1" showErrorMessage="1" sqref="U2:U17 W2:W7 W9:W17">
      <formula1>INDIRECT(T2)</formula1>
    </dataValidation>
  </dataValidation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宜胜客诉台账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bqgff</dc:creator>
  <cp:lastModifiedBy>ㅤㅤㅤㅤㅤㅤ皮蛋。</cp:lastModifiedBy>
  <dcterms:created xsi:type="dcterms:W3CDTF">2026-06-02T02:48:00Z</dcterms:created>
  <dcterms:modified xsi:type="dcterms:W3CDTF">2026-06-02T05:49:27Z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F3A31E420173411DB65B1FBFD548BD1B_11</vt:lpwstr>
  </property>
  <property fmtid="{D5CDD505-2E9C-101B-9397-08002B2CF9AE}" pid="3" name="KSOProductBuildVer">
    <vt:lpwstr>2052-12.1.0.26375</vt:lpwstr>
  </property>
  <property fmtid="{D5CDD505-2E9C-101B-9397-08002B2CF9AE}" pid="4" name="CalculationRule">
    <vt:i4>1</vt:i4>
  </property>
</Properties>
</file>