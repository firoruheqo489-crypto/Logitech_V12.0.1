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罗技新项目状态表总表 (2)" sheetId="1" r:id="rId1"/>
  </sheets>
  <definedNames>
    <definedName name="_xlnm._FilterDatabase" localSheetId="0" hidden="1">'罗技新项目状态表总表 (2)'!$A$3:$AB$8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<sst xmlns="http://schemas.openxmlformats.org/spreadsheetml/2006/main" count="117" uniqueCount="66">
  <si>
    <t>项目信息管理表</t>
  </si>
  <si>
    <t>NO.</t>
  </si>
  <si>
    <t>项目信息</t>
  </si>
  <si>
    <t>内部节点</t>
  </si>
  <si>
    <t>项目推进细节</t>
  </si>
  <si>
    <t>客户名称</t>
  </si>
  <si>
    <t>客户基地</t>
  </si>
  <si>
    <t>项目名称</t>
  </si>
  <si>
    <t>产品名称</t>
  </si>
  <si>
    <t>落地工厂</t>
  </si>
  <si>
    <t>模具
套数</t>
  </si>
  <si>
    <t>料号</t>
  </si>
  <si>
    <t>穴号</t>
  </si>
  <si>
    <t>模具编号</t>
  </si>
  <si>
    <t>项目经理</t>
  </si>
  <si>
    <t>项目工程师</t>
  </si>
  <si>
    <t>模具项目</t>
  </si>
  <si>
    <t>QE</t>
  </si>
  <si>
    <t>风险等级</t>
  </si>
  <si>
    <t>项目启动</t>
  </si>
  <si>
    <t>T1时间</t>
  </si>
  <si>
    <t>G/L
时间</t>
  </si>
  <si>
    <t>VMP</t>
  </si>
  <si>
    <t>MP</t>
  </si>
  <si>
    <t>现阶段</t>
  </si>
  <si>
    <t>T1尺寸是否达标</t>
  </si>
  <si>
    <t>试模次数</t>
  </si>
  <si>
    <t>Tooling FAI</t>
  </si>
  <si>
    <t>Part FAI</t>
  </si>
  <si>
    <t>更新日期</t>
  </si>
  <si>
    <t>项目推进进展细节</t>
  </si>
  <si>
    <t>当前节点</t>
  </si>
  <si>
    <t>项目预估完成时间</t>
  </si>
  <si>
    <t>罗技</t>
  </si>
  <si>
    <t>苏州</t>
  </si>
  <si>
    <t>Ziti</t>
  </si>
  <si>
    <t>End Cap</t>
  </si>
  <si>
    <t>A厂</t>
  </si>
  <si>
    <t>400-008905</t>
  </si>
  <si>
    <t>SZ1-4</t>
  </si>
  <si>
    <t>LA26006</t>
  </si>
  <si>
    <t>张舜杰</t>
  </si>
  <si>
    <t>左聪</t>
  </si>
  <si>
    <t>胡荣武</t>
  </si>
  <si>
    <t>王婕</t>
  </si>
  <si>
    <t>正常</t>
  </si>
  <si>
    <t>T4</t>
  </si>
  <si>
    <t>否</t>
  </si>
  <si>
    <t>今天T5试模，当前在装配</t>
  </si>
  <si>
    <t>进行中</t>
  </si>
  <si>
    <t>Bracket</t>
  </si>
  <si>
    <t>400-008906</t>
  </si>
  <si>
    <t>LA26007</t>
  </si>
  <si>
    <t>柳彬彬</t>
  </si>
  <si>
    <t>T1</t>
  </si>
  <si>
    <t>3/1日T1试模，3/2日下发修模资料，前模外发咬花，后模维修</t>
  </si>
  <si>
    <t>越南</t>
  </si>
  <si>
    <t>VN1-4</t>
  </si>
  <si>
    <t>LA26012</t>
  </si>
  <si>
    <t>T2</t>
  </si>
  <si>
    <t>外发咬花中，钳工回复预计3/3日回来</t>
  </si>
  <si>
    <t>LA26013</t>
  </si>
  <si>
    <t>T0</t>
  </si>
  <si>
    <t>外发咬花中，钳工回复预计3/4日回来</t>
  </si>
  <si>
    <t>LA26000</t>
  </si>
  <si>
    <t>已完成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</si>
</sst>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d\-mmm\-yyyy;@"/>
    <numFmt numFmtId="177" formatCode="m&quot;月&quot;d&quot;日&quot;;@"/>
  </numFmts>
  <fonts count="37">
    <font>
      <sz val="11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2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000000"/>
      <name val="宋体"/>
      <charset val="134"/>
    </font>
    <font>
      <sz val="12"/>
      <color theme="1"/>
      <name val="宋体"/>
      <charset val="134"/>
    </font>
    <font>
      <sz val="12"/>
      <color rgb="FF000000"/>
      <name val="微软雅黑"/>
      <charset val="134"/>
    </font>
    <font>
      <sz val="12"/>
      <name val="Microsoft YaHei"/>
      <charset val="134"/>
    </font>
    <font>
      <sz val="12"/>
      <color rgb="FF000000"/>
      <name val="宋体"/>
      <charset val="134"/>
    </font>
    <font>
      <sz val="11"/>
      <name val="宋体"/>
      <charset val="134"/>
    </font>
    <font>
      <sz val="11"/>
      <name val="宋体"/>
      <charset val="134"/>
      <scheme val="minor"/>
    </font>
    <font>
      <sz val="14"/>
      <color rgb="FF000000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name val="微软雅黑"/>
      <charset val="134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新細明體"/>
      <charset val="134"/>
    </font>
    <font>
      <sz val="10"/>
      <color rgb="FF000000"/>
      <name val="Arial"/>
      <charset val="134"/>
    </font>
  </fonts>
  <fills count="3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6" borderId="9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7" borderId="12" applyNumberFormat="0" applyAlignment="0" applyProtection="0">
      <alignment vertical="center"/>
    </xf>
    <xf numFmtId="0" fontId="25" fillId="8" borderId="13" applyNumberFormat="0" applyAlignment="0" applyProtection="0">
      <alignment vertical="center"/>
    </xf>
    <xf numFmtId="0" fontId="26" fillId="8" borderId="12" applyNumberFormat="0" applyAlignment="0" applyProtection="0">
      <alignment vertical="center"/>
    </xf>
    <xf numFmtId="0" fontId="27" fillId="9" borderId="14" applyNumberFormat="0" applyAlignment="0" applyProtection="0">
      <alignment vertical="center"/>
    </xf>
    <xf numFmtId="0" fontId="28" fillId="0" borderId="15" applyNumberFormat="0" applyFill="0" applyAlignment="0" applyProtection="0">
      <alignment vertical="center"/>
    </xf>
    <xf numFmtId="0" fontId="29" fillId="0" borderId="16" applyNumberFormat="0" applyFill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5" fillId="0" borderId="0"/>
    <xf numFmtId="176" fontId="36" fillId="0" borderId="0"/>
  </cellStyleXfs>
  <cellXfs count="48">
    <xf numFmtId="0" fontId="0" fillId="0" borderId="0" xfId="0">
      <alignment vertical="center"/>
    </xf>
    <xf numFmtId="0" fontId="0" fillId="0" borderId="0" xfId="0" applyNumberFormat="1" applyFill="1" applyBorder="1" applyAlignment="1">
      <alignment horizontal="center" vertical="center" wrapText="1"/>
    </xf>
    <xf numFmtId="0" fontId="1" fillId="0" borderId="0" xfId="0" applyNumberFormat="1" applyFont="1" applyFill="1" applyBorder="1" applyAlignment="1">
      <alignment vertical="center" wrapText="1"/>
    </xf>
    <xf numFmtId="0" fontId="1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ill="1" applyBorder="1" applyAlignment="1">
      <alignment vertical="center" wrapText="1"/>
    </xf>
    <xf numFmtId="0" fontId="0" fillId="0" borderId="0" xfId="0" applyNumberForma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vertical="center" wrapText="1"/>
    </xf>
    <xf numFmtId="0" fontId="4" fillId="2" borderId="5" xfId="0" applyFont="1" applyFill="1" applyBorder="1" applyAlignment="1">
      <alignment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vertical="center"/>
    </xf>
    <xf numFmtId="0" fontId="6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176" fontId="7" fillId="0" borderId="6" xfId="5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6" xfId="0" applyNumberFormat="1" applyFont="1" applyBorder="1" applyAlignment="1">
      <alignment horizontal="center" vertical="center" wrapText="1"/>
    </xf>
    <xf numFmtId="0" fontId="9" fillId="0" borderId="6" xfId="0" applyNumberFormat="1" applyFont="1" applyBorder="1" applyAlignment="1">
      <alignment horizontal="center" vertical="center" wrapText="1"/>
    </xf>
    <xf numFmtId="0" fontId="9" fillId="0" borderId="6" xfId="0" applyNumberFormat="1" applyFont="1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177" fontId="7" fillId="0" borderId="4" xfId="0" applyNumberFormat="1" applyFont="1" applyBorder="1" applyAlignment="1">
      <alignment horizontal="center" vertical="center" wrapText="1"/>
    </xf>
    <xf numFmtId="177" fontId="7" fillId="0" borderId="8" xfId="0" applyNumberFormat="1" applyFont="1" applyBorder="1" applyAlignment="1">
      <alignment horizontal="center" vertical="center" wrapText="1"/>
    </xf>
    <xf numFmtId="177" fontId="14" fillId="0" borderId="7" xfId="49" applyNumberFormat="1" applyFont="1" applyBorder="1" applyAlignment="1">
      <alignment horizontal="center" vertical="center" wrapText="1"/>
    </xf>
    <xf numFmtId="177" fontId="14" fillId="0" borderId="4" xfId="49" applyNumberFormat="1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/>
    </xf>
    <xf numFmtId="10" fontId="13" fillId="4" borderId="4" xfId="0" applyNumberFormat="1" applyFont="1" applyFill="1" applyBorder="1" applyAlignment="1">
      <alignment horizontal="center" vertical="center" wrapText="1"/>
    </xf>
    <xf numFmtId="10" fontId="13" fillId="5" borderId="4" xfId="0" applyNumberFormat="1" applyFont="1" applyFill="1" applyBorder="1" applyAlignment="1">
      <alignment horizontal="center" vertical="center" wrapText="1"/>
    </xf>
    <xf numFmtId="58" fontId="15" fillId="0" borderId="4" xfId="0" applyNumberFormat="1" applyFont="1" applyBorder="1" applyAlignment="1">
      <alignment horizontal="center" vertical="center" wrapText="1"/>
    </xf>
    <xf numFmtId="0" fontId="13" fillId="0" borderId="4" xfId="0" applyNumberFormat="1" applyFont="1" applyBorder="1" applyAlignment="1">
      <alignment horizontal="center" vertical="center" wrapText="1"/>
    </xf>
    <xf numFmtId="58" fontId="13" fillId="0" borderId="4" xfId="0" applyNumberFormat="1" applyFont="1" applyBorder="1" applyAlignment="1">
      <alignment horizontal="center" vertical="center" wrapText="1"/>
    </xf>
    <xf numFmtId="0" fontId="7" fillId="0" borderId="6" xfId="0" applyNumberFormat="1" applyFont="1" applyBorder="1" applyAlignment="1">
      <alignment horizontal="center" vertical="center" wrapText="1"/>
    </xf>
    <xf numFmtId="0" fontId="8" fillId="0" borderId="6" xfId="0" applyNumberFormat="1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 wrapText="1"/>
    </xf>
    <xf numFmtId="176" fontId="7" fillId="0" borderId="4" xfId="50" applyFont="1" applyBorder="1" applyAlignment="1">
      <alignment horizontal="center" vertical="center" wrapText="1"/>
    </xf>
    <xf numFmtId="0" fontId="9" fillId="0" borderId="4" xfId="0" applyNumberFormat="1" applyFont="1" applyFill="1" applyBorder="1" applyAlignment="1">
      <alignment horizontal="center" vertical="center" wrapText="1"/>
    </xf>
    <xf numFmtId="10" fontId="13" fillId="0" borderId="4" xfId="0" applyNumberFormat="1" applyFont="1" applyBorder="1" applyAlignment="1">
      <alignment horizontal="center" vertical="center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4" xfId="49"/>
    <cellStyle name="常规 7" xfId="50"/>
  </cellStyles>
  <dxfs count="23">
    <dxf>
      <font>
        <color rgb="FF9C0006"/>
      </font>
      <fill>
        <patternFill patternType="solid">
          <bgColor rgb="FFFFC7CE"/>
        </patternFill>
      </fill>
    </dxf>
    <dxf>
      <font>
        <b val="1"/>
        <i val="0"/>
        <strike val="0"/>
        <u val="none"/>
        <color theme="2" tint="-0.9"/>
      </font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7030A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firstColumnStripe" dxfId="6"/>
    </tableStyle>
    <tableStyle name="PivotStylePreset2_Accent1" table="0" count="10" xr9:uid="{267968C8-6FFD-4C36-ACC1-9EA1FD1885CA}">
      <tableStyleElement type="headerRow" dxfId="22"/>
      <tableStyleElement type="totalRow" dxfId="21"/>
      <tableStyleElement type="firstRowStripe" dxfId="20"/>
      <tableStyleElement type="firstColumnStripe" dxfId="19"/>
      <tableStyleElement type="firstSubtotalRow" dxfId="18"/>
      <tableStyleElement type="secondSubtotalRow" dxfId="17"/>
      <tableStyleElement type="firstRowSubheading" dxfId="16"/>
      <tableStyleElement type="secondRowSubheading" dxfId="15"/>
      <tableStyleElement type="pageFieldLabels" dxfId="14"/>
      <tableStyleElement type="pageFieldValues" dxfId="13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E8"/>
  <sheetViews>
    <sheetView showGridLines="0" tabSelected="1" zoomScale="85" zoomScaleNormal="85" topLeftCell="M1" workbookViewId="0">
      <pane ySplit="3" topLeftCell="A4" activePane="bottomLeft" state="frozen"/>
      <selection/>
      <selection pane="bottomLeft" activeCell="U12" sqref="U12"/>
    </sheetView>
  </sheetViews>
  <sheetFormatPr defaultColWidth="8.73451327433628" defaultRowHeight="13.5" outlineLevelRow="7"/>
  <cols>
    <col min="1" max="1" width="6.07079646017699" style="1" customWidth="1"/>
    <col min="2" max="2" width="7.60176991150442" style="2" customWidth="1"/>
    <col min="3" max="3" width="5.55752212389381" style="2" customWidth="1"/>
    <col min="4" max="4" width="14.9557522123894" style="2" customWidth="1"/>
    <col min="5" max="5" width="21.1681415929204" style="3" customWidth="1"/>
    <col min="6" max="6" width="9.07079646017699" style="2" customWidth="1"/>
    <col min="7" max="7" width="9.20353982300885" style="3" customWidth="1"/>
    <col min="8" max="8" width="17.5044247787611" style="3" customWidth="1"/>
    <col min="9" max="9" width="12.6371681415929" style="3" customWidth="1"/>
    <col min="10" max="10" width="13.6548672566372" style="3" customWidth="1"/>
    <col min="11" max="11" width="10.7610619469027" style="1" customWidth="1"/>
    <col min="12" max="12" width="8.23008849557522" style="1" customWidth="1"/>
    <col min="13" max="14" width="10.7610619469027" style="1" customWidth="1"/>
    <col min="15" max="15" width="10.3185840707965" style="4" customWidth="1"/>
    <col min="16" max="16" width="12.646017699115" style="3" customWidth="1"/>
    <col min="17" max="17" width="12.0619469026549" style="3" customWidth="1"/>
    <col min="18" max="18" width="10.8761061946903" style="3" customWidth="1"/>
    <col min="19" max="19" width="9.87610619469027" style="3" customWidth="1"/>
    <col min="20" max="20" width="10.5840707964602" style="3" customWidth="1"/>
    <col min="21" max="21" width="10.5398230088496" style="3" customWidth="1"/>
    <col min="22" max="24" width="10.7699115044248" style="3" customWidth="1"/>
    <col min="25" max="25" width="9.4070796460177" style="3" customWidth="1"/>
    <col min="26" max="26" width="11.0265486725664" style="3" customWidth="1"/>
    <col min="27" max="27" width="58.6902654867257" style="5" customWidth="1"/>
    <col min="29" max="29" width="19.1238938053097" customWidth="1"/>
    <col min="30" max="33" width="11.6283185840708" customWidth="1"/>
    <col min="34" max="34" width="13.6725663716814" customWidth="1"/>
    <col min="35" max="36" width="11.6283185840708" customWidth="1"/>
  </cols>
  <sheetData>
    <row r="1" ht="47" customHeight="1" spans="1:31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8"/>
      <c r="X1" s="8"/>
      <c r="Y1" s="8"/>
      <c r="Z1" s="8"/>
      <c r="AA1" s="8"/>
    </row>
    <row r="2" ht="34" customHeight="1" spans="1:31">
      <c r="A2" s="9" t="s">
        <v>1</v>
      </c>
      <c r="B2" s="10" t="s">
        <v>2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1" t="s">
        <v>3</v>
      </c>
      <c r="Q2" s="12"/>
      <c r="R2" s="12"/>
      <c r="S2" s="12"/>
      <c r="T2" s="12"/>
      <c r="U2" s="12"/>
      <c r="V2" s="13"/>
      <c r="W2" s="14"/>
      <c r="X2" s="11" t="s">
        <v>4</v>
      </c>
      <c r="Y2" s="12"/>
      <c r="Z2" s="12"/>
      <c r="AA2" s="12"/>
      <c r="AB2" s="12"/>
      <c r="AC2" s="15"/>
    </row>
    <row r="3" ht="40" customHeight="1" spans="1:31">
      <c r="A3" s="9"/>
      <c r="B3" s="10" t="s">
        <v>5</v>
      </c>
      <c r="C3" s="10" t="s">
        <v>6</v>
      </c>
      <c r="D3" s="10" t="s">
        <v>7</v>
      </c>
      <c r="E3" s="10" t="s">
        <v>8</v>
      </c>
      <c r="F3" s="10" t="s">
        <v>9</v>
      </c>
      <c r="G3" s="10" t="s">
        <v>10</v>
      </c>
      <c r="H3" s="10" t="s">
        <v>11</v>
      </c>
      <c r="I3" s="10" t="s">
        <v>12</v>
      </c>
      <c r="J3" s="10" t="s">
        <v>13</v>
      </c>
      <c r="K3" s="10" t="s">
        <v>14</v>
      </c>
      <c r="L3" s="10" t="s">
        <v>15</v>
      </c>
      <c r="M3" s="10" t="s">
        <v>16</v>
      </c>
      <c r="N3" s="10" t="s">
        <v>17</v>
      </c>
      <c r="O3" s="10" t="s">
        <v>18</v>
      </c>
      <c r="P3" s="16" t="s">
        <v>19</v>
      </c>
      <c r="Q3" s="10" t="s">
        <v>20</v>
      </c>
      <c r="R3" s="10" t="s">
        <v>21</v>
      </c>
      <c r="S3" s="10" t="s">
        <v>22</v>
      </c>
      <c r="T3" s="10" t="s">
        <v>23</v>
      </c>
      <c r="U3" s="10" t="s">
        <v>24</v>
      </c>
      <c r="V3" s="10" t="s">
        <v>25</v>
      </c>
      <c r="W3" s="10" t="s">
        <v>26</v>
      </c>
      <c r="X3" s="10" t="s">
        <v>27</v>
      </c>
      <c r="Y3" s="10" t="s">
        <v>28</v>
      </c>
      <c r="Z3" s="10" t="s">
        <v>29</v>
      </c>
      <c r="AA3" s="10" t="s">
        <v>30</v>
      </c>
      <c r="AB3" s="17" t="s">
        <v>31</v>
      </c>
      <c r="AC3" s="10" t="s">
        <v>32</v>
      </c>
    </row>
    <row r="4" ht="35" customHeight="1" spans="1:31">
      <c r="A4" s="18">
        <v>1</v>
      </c>
      <c r="B4" s="19" t="s">
        <v>33</v>
      </c>
      <c r="C4" s="19" t="s">
        <v>34</v>
      </c>
      <c r="D4" s="20" t="s">
        <v>35</v>
      </c>
      <c r="E4" s="21" t="s">
        <v>36</v>
      </c>
      <c r="F4" s="22" t="s">
        <v>37</v>
      </c>
      <c r="G4" s="23">
        <v>1</v>
      </c>
      <c r="H4" s="24" t="s">
        <v>38</v>
      </c>
      <c r="I4" s="25" t="s">
        <v>39</v>
      </c>
      <c r="J4" s="26" t="s">
        <v>40</v>
      </c>
      <c r="K4" s="27" t="s">
        <v>41</v>
      </c>
      <c r="L4" s="28" t="s">
        <v>42</v>
      </c>
      <c r="M4" s="29" t="s">
        <v>43</v>
      </c>
      <c r="N4" s="30" t="s">
        <v>44</v>
      </c>
      <c r="O4" s="31" t="s">
        <v>45</v>
      </c>
      <c r="P4" s="32">
        <v>46037</v>
      </c>
      <c r="Q4" s="33">
        <v>46065</v>
      </c>
      <c r="R4" s="34">
        <v>46079</v>
      </c>
      <c r="S4" s="35"/>
      <c r="T4" s="35"/>
      <c r="U4" s="36" t="s">
        <v>46</v>
      </c>
      <c r="V4" s="36" t="s">
        <v>47</v>
      </c>
      <c r="W4" s="36">
        <v>5</v>
      </c>
      <c r="X4" s="37">
        <v>0.852</v>
      </c>
      <c r="Y4" s="38">
        <v>0.98</v>
      </c>
      <c r="Z4" s="39">
        <v>46084</v>
      </c>
      <c r="AA4" s="40" t="s">
        <v>48</v>
      </c>
      <c r="AB4" s="41" t="s">
        <v>49</v>
      </c>
      <c r="AC4" s="41">
        <v>46081</v>
      </c>
    </row>
    <row r="5" customFormat="1" ht="35" customHeight="1" spans="1:31">
      <c r="A5" s="18">
        <v>2</v>
      </c>
      <c r="B5" s="19" t="s">
        <v>33</v>
      </c>
      <c r="C5" s="19" t="s">
        <v>34</v>
      </c>
      <c r="D5" s="42" t="s">
        <v>35</v>
      </c>
      <c r="E5" s="43" t="s">
        <v>50</v>
      </c>
      <c r="F5" s="22" t="s">
        <v>37</v>
      </c>
      <c r="G5" s="23">
        <v>1</v>
      </c>
      <c r="H5" s="24" t="s">
        <v>51</v>
      </c>
      <c r="I5" s="25" t="s">
        <v>39</v>
      </c>
      <c r="J5" s="26" t="s">
        <v>52</v>
      </c>
      <c r="K5" s="27" t="s">
        <v>41</v>
      </c>
      <c r="L5" s="44" t="s">
        <v>42</v>
      </c>
      <c r="M5" s="23" t="s">
        <v>43</v>
      </c>
      <c r="N5" s="30" t="s">
        <v>53</v>
      </c>
      <c r="O5" s="31" t="s">
        <v>45</v>
      </c>
      <c r="P5" s="32">
        <v>46037</v>
      </c>
      <c r="Q5" s="32"/>
      <c r="R5" s="32"/>
      <c r="S5" s="35"/>
      <c r="T5" s="35"/>
      <c r="U5" s="36" t="s">
        <v>54</v>
      </c>
      <c r="V5" s="36" t="s">
        <v>47</v>
      </c>
      <c r="W5" s="36">
        <v>1</v>
      </c>
      <c r="X5" s="37">
        <v>0.976</v>
      </c>
      <c r="Y5" s="38">
        <v>0.97</v>
      </c>
      <c r="Z5" s="39">
        <v>46083</v>
      </c>
      <c r="AA5" s="40" t="s">
        <v>55</v>
      </c>
      <c r="AB5" s="41" t="s">
        <v>49</v>
      </c>
      <c r="AC5" s="41">
        <v>46080</v>
      </c>
    </row>
    <row r="6" customFormat="1" ht="35" customHeight="1" spans="1:31">
      <c r="A6" s="18">
        <v>3</v>
      </c>
      <c r="B6" s="19" t="s">
        <v>33</v>
      </c>
      <c r="C6" s="19" t="s">
        <v>34</v>
      </c>
      <c r="D6" s="20" t="s">
        <v>35</v>
      </c>
      <c r="E6" s="21" t="s">
        <v>36</v>
      </c>
      <c r="F6" s="45" t="s">
        <v>56</v>
      </c>
      <c r="G6" s="23">
        <v>1</v>
      </c>
      <c r="H6" s="24" t="s">
        <v>38</v>
      </c>
      <c r="I6" s="25" t="s">
        <v>57</v>
      </c>
      <c r="J6" s="26" t="s">
        <v>58</v>
      </c>
      <c r="K6" s="27" t="s">
        <v>41</v>
      </c>
      <c r="L6" s="44" t="s">
        <v>42</v>
      </c>
      <c r="M6" s="23" t="s">
        <v>43</v>
      </c>
      <c r="N6" s="30" t="s">
        <v>44</v>
      </c>
      <c r="O6" s="31" t="s">
        <v>45</v>
      </c>
      <c r="P6" s="32">
        <v>46037</v>
      </c>
      <c r="Q6" s="32">
        <v>46076</v>
      </c>
      <c r="R6" s="32"/>
      <c r="S6" s="35"/>
      <c r="T6" s="35"/>
      <c r="U6" s="36" t="s">
        <v>59</v>
      </c>
      <c r="V6" s="36" t="s">
        <v>47</v>
      </c>
      <c r="W6" s="36">
        <v>2</v>
      </c>
      <c r="X6" s="37">
        <v>0.852</v>
      </c>
      <c r="Y6" s="38">
        <v>0.98</v>
      </c>
      <c r="Z6" s="39">
        <v>46083</v>
      </c>
      <c r="AA6" s="40" t="s">
        <v>60</v>
      </c>
      <c r="AB6" s="41" t="s">
        <v>49</v>
      </c>
      <c r="AC6" s="41">
        <v>46082</v>
      </c>
      <c r="AE6">
        <v>11</v>
      </c>
    </row>
    <row r="7" customFormat="1" ht="35" customHeight="1" spans="1:31">
      <c r="A7" s="18">
        <v>4</v>
      </c>
      <c r="B7" s="19" t="s">
        <v>33</v>
      </c>
      <c r="C7" s="19" t="s">
        <v>34</v>
      </c>
      <c r="D7" s="20" t="s">
        <v>35</v>
      </c>
      <c r="E7" s="21" t="s">
        <v>50</v>
      </c>
      <c r="F7" s="45" t="s">
        <v>56</v>
      </c>
      <c r="G7" s="23">
        <v>1</v>
      </c>
      <c r="H7" s="24" t="s">
        <v>51</v>
      </c>
      <c r="I7" s="25" t="s">
        <v>57</v>
      </c>
      <c r="J7" s="26" t="s">
        <v>61</v>
      </c>
      <c r="K7" s="27" t="s">
        <v>41</v>
      </c>
      <c r="L7" s="44" t="s">
        <v>42</v>
      </c>
      <c r="M7" s="23" t="s">
        <v>43</v>
      </c>
      <c r="N7" s="46" t="s">
        <v>53</v>
      </c>
      <c r="O7" s="31" t="s">
        <v>45</v>
      </c>
      <c r="P7" s="32">
        <v>46037</v>
      </c>
      <c r="Q7" s="32">
        <v>46080</v>
      </c>
      <c r="R7" s="32">
        <v>46076</v>
      </c>
      <c r="S7" s="35"/>
      <c r="T7" s="35"/>
      <c r="U7" s="36" t="s">
        <v>62</v>
      </c>
      <c r="V7" s="36" t="s">
        <v>47</v>
      </c>
      <c r="W7" s="36">
        <v>1</v>
      </c>
      <c r="X7" s="37">
        <v>0.97</v>
      </c>
      <c r="Y7" s="38">
        <v>0.99</v>
      </c>
      <c r="Z7" s="39">
        <v>46083</v>
      </c>
      <c r="AA7" s="40" t="s">
        <v>63</v>
      </c>
      <c r="AB7" s="41" t="s">
        <v>49</v>
      </c>
      <c r="AC7" s="41">
        <v>46080</v>
      </c>
    </row>
    <row r="8" customFormat="1" ht="35" customHeight="1" spans="1:31">
      <c r="A8" s="18">
        <v>4</v>
      </c>
      <c r="B8" s="19" t="s">
        <v>33</v>
      </c>
      <c r="C8" s="19" t="s">
        <v>34</v>
      </c>
      <c r="D8" s="20" t="s">
        <v>35</v>
      </c>
      <c r="E8" s="21" t="s">
        <v>50</v>
      </c>
      <c r="F8" s="45" t="s">
        <v>56</v>
      </c>
      <c r="G8" s="23">
        <v>1</v>
      </c>
      <c r="H8" s="24" t="s">
        <v>51</v>
      </c>
      <c r="I8" s="25" t="s">
        <v>57</v>
      </c>
      <c r="J8" s="26" t="s">
        <v>64</v>
      </c>
      <c r="K8" s="27" t="s">
        <v>41</v>
      </c>
      <c r="L8" s="44" t="s">
        <v>42</v>
      </c>
      <c r="M8" s="23" t="s">
        <v>43</v>
      </c>
      <c r="N8" s="46" t="s">
        <v>53</v>
      </c>
      <c r="O8" s="31" t="s">
        <v>45</v>
      </c>
      <c r="P8" s="32">
        <v>46037</v>
      </c>
      <c r="Q8" s="32">
        <v>46080</v>
      </c>
      <c r="R8" s="32">
        <v>46076</v>
      </c>
      <c r="S8" s="35"/>
      <c r="T8" s="35"/>
      <c r="U8" s="36" t="s">
        <v>62</v>
      </c>
      <c r="V8" s="36" t="s">
        <v>47</v>
      </c>
      <c r="W8" s="36">
        <v>1</v>
      </c>
      <c r="X8" s="47">
        <v>0.97</v>
      </c>
      <c r="Y8" s="47">
        <v>0.92</v>
      </c>
      <c r="Z8" s="39">
        <v>46085</v>
      </c>
      <c r="AA8" s="40">
        <v>21312312132</v>
      </c>
      <c r="AB8" s="41" t="s">
        <v>65</v>
      </c>
      <c r="AC8" s="41">
        <v>46080</v>
      </c>
    </row>
  </sheetData>
  <sheetProtection formatCells="0" insertHyperlinks="0" autoFilter="0"/>
  <mergeCells count="5">
    <mergeCell ref="A1:AA1"/>
    <mergeCell ref="B2:O2"/>
    <mergeCell ref="P2:V2"/>
    <mergeCell ref="X2:AB2"/>
    <mergeCell ref="A2:A3"/>
  </mergeCells>
  <conditionalFormatting sqref="AC4">
    <cfRule type="cellIs" dxfId="0" priority="212" operator="equal">
      <formula>"Y"</formula>
    </cfRule>
    <cfRule type="cellIs" dxfId="1" priority="211" operator="equal">
      <formula>"Y"</formula>
    </cfRule>
  </conditionalFormatting>
  <conditionalFormatting sqref="O7">
    <cfRule type="cellIs" dxfId="2" priority="6" operator="equal">
      <formula>"正常"</formula>
    </cfRule>
    <cfRule type="cellIs" dxfId="3" priority="5" operator="equal">
      <formula>"高风险"</formula>
    </cfRule>
    <cfRule type="cellIs" dxfId="4" priority="4" operator="equal">
      <formula>"风险"</formula>
    </cfRule>
    <cfRule type="cellIs" dxfId="5" priority="3" operator="equal">
      <formula>"高关注"</formula>
    </cfRule>
  </conditionalFormatting>
  <conditionalFormatting sqref="AB7">
    <cfRule type="cellIs" dxfId="0" priority="8" operator="equal">
      <formula>"Y"</formula>
    </cfRule>
    <cfRule type="cellIs" dxfId="1" priority="7" operator="equal">
      <formula>"Y"</formula>
    </cfRule>
  </conditionalFormatting>
  <conditionalFormatting sqref="AC7">
    <cfRule type="cellIs" dxfId="0" priority="2" operator="equal">
      <formula>"Y"</formula>
    </cfRule>
    <cfRule type="cellIs" dxfId="1" priority="1" operator="equal">
      <formula>"Y"</formula>
    </cfRule>
  </conditionalFormatting>
  <conditionalFormatting sqref="AC8">
    <cfRule type="cellIs" dxfId="1" priority="9" operator="equal">
      <formula>"Y"</formula>
    </cfRule>
    <cfRule type="cellIs" dxfId="0" priority="10" operator="equal">
      <formula>"Y"</formula>
    </cfRule>
  </conditionalFormatting>
  <conditionalFormatting sqref="AC5:AC6">
    <cfRule type="cellIs" dxfId="1" priority="209" operator="equal">
      <formula>"Y"</formula>
    </cfRule>
    <cfRule type="cellIs" dxfId="0" priority="210" operator="equal">
      <formula>"Y"</formula>
    </cfRule>
  </conditionalFormatting>
  <conditionalFormatting sqref="O4:O6 O8">
    <cfRule type="cellIs" dxfId="5" priority="11" operator="equal">
      <formula>"高关注"</formula>
    </cfRule>
    <cfRule type="cellIs" dxfId="4" priority="12" operator="equal">
      <formula>"风险"</formula>
    </cfRule>
    <cfRule type="cellIs" dxfId="3" priority="13" operator="equal">
      <formula>"高风险"</formula>
    </cfRule>
    <cfRule type="cellIs" dxfId="2" priority="14" operator="equal">
      <formula>"正常"</formula>
    </cfRule>
  </conditionalFormatting>
  <conditionalFormatting sqref="AB4:AB6 AB8">
    <cfRule type="cellIs" dxfId="1" priority="171" operator="equal">
      <formula>"Y"</formula>
    </cfRule>
    <cfRule type="cellIs" dxfId="0" priority="172" operator="equal">
      <formula>"Y"</formula>
    </cfRule>
  </conditionalFormatting>
  <pageMargins left="0.75" right="0.75" top="1" bottom="1" header="0.5" footer="0.5"/>
  <pageSetup paperSize="9" scale="5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罗技新项目状态表总表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bqgff</cp:lastModifiedBy>
  <dcterms:created xsi:type="dcterms:W3CDTF">2026-02-04T01:05:00Z</dcterms:created>
  <dcterms:modified xsi:type="dcterms:W3CDTF">2026-03-02T01:36:00Z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939C6ACFF1D84D0F8DB6EB61C9E3944A_13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