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105" tabRatio="628" firstSheet="2" activeTab="2"/>
  </bookViews>
  <sheets>
    <sheet name="月负荷图标1月" sheetId="164" state="hidden" r:id="rId1"/>
    <sheet name="月负荷图标1月总" sheetId="163" state="hidden" r:id="rId2"/>
    <sheet name="Sheet1" sheetId="17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a">#N/A</definedName>
    <definedName name="\b">#N/A</definedName>
    <definedName name="\p">#N/A</definedName>
    <definedName name="\z">#N/A</definedName>
    <definedName name="_2">#REF!</definedName>
    <definedName name="_Ａ４1">#N/A</definedName>
    <definedName name="_A66666">#REF!</definedName>
    <definedName name="_A70000">#REF!</definedName>
    <definedName name="_A90000">#REF!</definedName>
    <definedName name="_CAM1">#REF!</definedName>
    <definedName name="_CAM2">#REF!</definedName>
    <definedName name="_xlnm._FilterDatabase" hidden="1">#REF!</definedName>
    <definedName name="_K1">[1]!_K1</definedName>
    <definedName name="_NFG4">#REF!</definedName>
    <definedName name="_NJG1">#REF!</definedName>
    <definedName name="_NJG2">#REF!</definedName>
    <definedName name="_NJG3">#REF!</definedName>
    <definedName name="_NJG4">#REF!</definedName>
    <definedName name="_NNG1">#REF!</definedName>
    <definedName name="_NNG2">#REF!</definedName>
    <definedName name="_NNG3">#REF!</definedName>
    <definedName name="_NNG4">#REF!</definedName>
    <definedName name="_NRG1">#REF!</definedName>
    <definedName name="_NRG2">#REF!</definedName>
    <definedName name="_NRG3">#REF!</definedName>
    <definedName name="_NRG4">#REF!</definedName>
    <definedName name="_Order1" hidden="1">255</definedName>
    <definedName name="_Order2" hidden="1">255</definedName>
    <definedName name="_Rng1">#REF!</definedName>
    <definedName name="_Rng2">#REF!</definedName>
    <definedName name="_Rng3">#REF!</definedName>
    <definedName name="_Rng4">#REF!</definedName>
    <definedName name="_Rng5">#REF!</definedName>
    <definedName name="_Rng6">#REF!</definedName>
    <definedName name="_S50000">#REF!</definedName>
    <definedName name="_V200">[1]!_V200</definedName>
    <definedName name="③단자인건비_인건비">#REF!</definedName>
    <definedName name="⑤이자리스료_일반">#REF!</definedName>
    <definedName name="a">[2]PRESS!$AK$36</definedName>
    <definedName name="Aaaaaa">#REF!</definedName>
    <definedName name="AB">#REF!</definedName>
    <definedName name="abc">[1]!abc</definedName>
    <definedName name="ac">[2]PRESS!$AO$36</definedName>
    <definedName name="Access_Button" hidden="1">"tpds0409_RAW_DATA_0318_List"</definedName>
    <definedName name="AccessDatabase" hidden="1">"C:\WORK BASE\tpds0409.mdb"</definedName>
    <definedName name="aCellbRngColor">#REF!</definedName>
    <definedName name="aCellbRngMPS">#REF!</definedName>
    <definedName name="aCellbRngMtlName">#REF!</definedName>
    <definedName name="aCellbRngNetWPc">#REF!</definedName>
    <definedName name="aCellbRngPaintA">#REF!</definedName>
    <definedName name="aCellbRngPartNameC">#REF!</definedName>
    <definedName name="aCellbRngPartNameE">#REF!</definedName>
    <definedName name="aCellbRngPAUnit">#REF!</definedName>
    <definedName name="aCellbRngPcVSet">#REF!</definedName>
    <definedName name="aCellbRngPicture">#REF!</definedName>
    <definedName name="aCellbRngPNa">#REF!</definedName>
    <definedName name="aCellbRngPNb">#REF!</definedName>
    <definedName name="aCellbRngPNc">#REF!</definedName>
    <definedName name="aCellbRngPNd">#REF!</definedName>
    <definedName name="aCellbRngPX">#REF!</definedName>
    <definedName name="aCellbRngPY">#REF!</definedName>
    <definedName name="aCellbRngPZ">#REF!</definedName>
    <definedName name="aCellbRngRH">#REF!</definedName>
    <definedName name="aCellbRngStage">#REF!</definedName>
    <definedName name="aCellbRngTexture">#REF!</definedName>
    <definedName name="aCellbRngUnit">#REF!</definedName>
    <definedName name="aCellbRngWallTh">#REF!</definedName>
    <definedName name="aCellbRngX">#REF!</definedName>
    <definedName name="aCellbRngY">#REF!</definedName>
    <definedName name="aCellbRngZ">#REF!</definedName>
    <definedName name="ActiveCellRow">#REF!</definedName>
    <definedName name="ad">[2]PRESS!$AO$37</definedName>
    <definedName name="ae">[2]PRESS!$AO$38</definedName>
    <definedName name="af">[2]PRESS!$AO$39</definedName>
    <definedName name="ag">[2]PRESS!$AO$40</definedName>
    <definedName name="ah">[2]PRESS!$AO$41</definedName>
    <definedName name="ai">[2]PRESS!$AO$42</definedName>
    <definedName name="aj">[2]PRESS!$AP$36</definedName>
    <definedName name="ak">[2]PRESS!$AP$37</definedName>
    <definedName name="al">[2]PRESS!$AP$38</definedName>
    <definedName name="am">[2]PRESS!$AP$39</definedName>
    <definedName name="an">[2]PRESS!$AP$40</definedName>
    <definedName name="ao">[2]PRESS!$AP$41</definedName>
    <definedName name="ap">[2]PRESS!$AP$42</definedName>
    <definedName name="aq">[2]PRESS!$AQ$36</definedName>
    <definedName name="ar">[2]PRESS!$AQ$37</definedName>
    <definedName name="as">[2]PRESS!$AQ$38</definedName>
    <definedName name="at">[2]PRESS!$AQ$39</definedName>
    <definedName name="au">[2]PRESS!$AQ$40</definedName>
    <definedName name="av">[2]PRESS!$AQ$41</definedName>
    <definedName name="aw">[2]PRESS!$AQ$42</definedName>
    <definedName name="b">[2]PRESS!$AK$37</definedName>
    <definedName name="BL">#REF!</definedName>
    <definedName name="BlankLineBOM">#REF!</definedName>
    <definedName name="BlankLineDL">#REF!</definedName>
    <definedName name="BlankLineFacility">#REF!</definedName>
    <definedName name="BlankLineIndirHourly">#REF!</definedName>
    <definedName name="BlankLinePurchMultiVol">#REF!</definedName>
    <definedName name="BlankLineSalary">#REF!</definedName>
    <definedName name="BlankLineSurface">#REF!</definedName>
    <definedName name="BlankLineSystems">#REF!</definedName>
    <definedName name="BlankLineTooling">#REF!</definedName>
    <definedName name="BLNKL">#REF!</definedName>
    <definedName name="BLNKS">#REF!</definedName>
    <definedName name="BLNKTOT">#REF!</definedName>
    <definedName name="BLNK합">#REF!</definedName>
    <definedName name="BLSL">#REF!</definedName>
    <definedName name="BLSS">#REF!</definedName>
    <definedName name="BNDL">#REF!</definedName>
    <definedName name="BOMcase">#REF!</definedName>
    <definedName name="BomPreparator">#REF!</definedName>
    <definedName name="BomTestedArea">#REF!</definedName>
    <definedName name="BomTestedArea1">#REF!</definedName>
    <definedName name="BS">#REF!</definedName>
    <definedName name="BUTTON_N">#REF!</definedName>
    <definedName name="BUTTON_T">#REF!</definedName>
    <definedName name="CALC">#REF!</definedName>
    <definedName name="CAML">#REF!</definedName>
    <definedName name="CAMS">#REF!</definedName>
    <definedName name="CAM수량">#REF!</definedName>
    <definedName name="CAM우">#REF!</definedName>
    <definedName name="CAM전">#REF!</definedName>
    <definedName name="CAM좌">#REF!</definedName>
    <definedName name="CAM후">#REF!</definedName>
    <definedName name="can">#REF!</definedName>
    <definedName name="CH">#REF!</definedName>
    <definedName name="CheckFirst">#REF!</definedName>
    <definedName name="CheckLast">#REF!</definedName>
    <definedName name="CHK">#REF!</definedName>
    <definedName name="CHKLST">#REF!</definedName>
    <definedName name="Concern">#REF!</definedName>
    <definedName name="Condition">#REF!</definedName>
    <definedName name="COVERING">#REF!</definedName>
    <definedName name="CPIRTOT">#REF!</definedName>
    <definedName name="CPIR합">#REF!</definedName>
    <definedName name="_xlnm.Criteria">#REF!</definedName>
    <definedName name="Crosstab_range">#REF!</definedName>
    <definedName name="cslll">#REF!</definedName>
    <definedName name="Ctr">#REF!</definedName>
    <definedName name="CustToolCost">#REF!</definedName>
    <definedName name="CustToolMargin">#REF!</definedName>
    <definedName name="d">[2]PRESS!$AK$39</definedName>
    <definedName name="DABSP">#REF!</definedName>
    <definedName name="DACB">#REF!</definedName>
    <definedName name="DACP">#REF!</definedName>
    <definedName name="DATA1">#N/A</definedName>
    <definedName name="DATA2">#N/A</definedName>
    <definedName name="DATA3">#REF!</definedName>
    <definedName name="DATA4">#REF!</definedName>
    <definedName name="Database">#REF!</definedName>
    <definedName name="DATB">#REF!</definedName>
    <definedName name="DATP">#REF!</definedName>
    <definedName name="DAWB">#REF!</definedName>
    <definedName name="DAWP">#REF!</definedName>
    <definedName name="DD">#REF!</definedName>
    <definedName name="DEL">#REF!</definedName>
    <definedName name="DeleteLater2">#REF!</definedName>
    <definedName name="DELL">#REF!</definedName>
    <definedName name="DEPT">#REF!</definedName>
    <definedName name="detailTitlePartNameDescription">#REF!</definedName>
    <definedName name="detailYFBomPartNameDescription">#REF!</definedName>
    <definedName name="DF">[1]!DF</definedName>
    <definedName name="DP">[1]!DP</definedName>
    <definedName name="DRAWS">#REF!</definedName>
    <definedName name="DRAWTOT">#REF!</definedName>
    <definedName name="DRAW합">#REF!</definedName>
    <definedName name="DSLENG">#REF!</definedName>
    <definedName name="e">[2]PRESS!$AK$40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[1]!eee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RE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f">[2]PRESS!$AK$41</definedName>
    <definedName name="Family3">#REF!</definedName>
    <definedName name="Family4">#REF!</definedName>
    <definedName name="Family5">#REF!</definedName>
    <definedName name="Family6">#REF!</definedName>
    <definedName name="FandT_LastLine">#REF!</definedName>
    <definedName name="FDG">#REF!</definedName>
    <definedName name="FDSAFDSAFDSAADDDDD">#REF!</definedName>
    <definedName name="FfRowsWithoutFormula">#REF!</definedName>
    <definedName name="FfTestedArea1">#REF!</definedName>
    <definedName name="FfTestedArea10">#REF!</definedName>
    <definedName name="FfTestedArea11">#REF!</definedName>
    <definedName name="FfTestedArea12">#REF!</definedName>
    <definedName name="FfTestedArea13">#REF!</definedName>
    <definedName name="FfTestedArea14">#REF!</definedName>
    <definedName name="FfTestedArea15">#REF!</definedName>
    <definedName name="FfTestedArea2">#REF!</definedName>
    <definedName name="FfTestedArea3">#REF!</definedName>
    <definedName name="FfTestedArea4">#REF!</definedName>
    <definedName name="FfTestedArea5">#REF!</definedName>
    <definedName name="FfTestedArea6">#REF!</definedName>
    <definedName name="FfTestedArea7">#REF!</definedName>
    <definedName name="FfTestedArea8">#REF!</definedName>
    <definedName name="FfTestedArea9">#REF!</definedName>
    <definedName name="Fin6Outputs">#REF!</definedName>
    <definedName name="FirstVariant">#REF!</definedName>
    <definedName name="FMDP">#REF!</definedName>
    <definedName name="g">[2]PRESS!$AK$42</definedName>
    <definedName name="GH">[1]!GH</definedName>
    <definedName name="h">[2]PRESS!$AL$36</definedName>
    <definedName name="Height">16</definedName>
    <definedName name="HOLE수">#REF!</definedName>
    <definedName name="HUNGE">#REF!</definedName>
    <definedName name="i">[2]PRESS!$AL$37</definedName>
    <definedName name="InbFreight">#REF!</definedName>
    <definedName name="INSULT14">#REF!</definedName>
    <definedName name="INSULT15">#REF!</definedName>
    <definedName name="INSULT16">#REF!</definedName>
    <definedName name="INSULT17">#REF!</definedName>
    <definedName name="INSULT21">#REF!</definedName>
    <definedName name="INSULT22">#REF!</definedName>
    <definedName name="INSULT23">#REF!</definedName>
    <definedName name="INSULT24">#REF!</definedName>
    <definedName name="INSULT25">#REF!</definedName>
    <definedName name="INSULT26">#REF!</definedName>
    <definedName name="INSULT27">#REF!</definedName>
    <definedName name="INSULT31">#REF!</definedName>
    <definedName name="INSULT32">#REF!</definedName>
    <definedName name="INSULT33">#REF!</definedName>
    <definedName name="INSULT34">#REF!</definedName>
    <definedName name="INSULT35">#REF!</definedName>
    <definedName name="INSULT36">#REF!</definedName>
    <definedName name="INSULT37">#REF!</definedName>
    <definedName name="INSULT41">#REF!</definedName>
    <definedName name="INSULT42">#REF!</definedName>
    <definedName name="INSULT43">#REF!</definedName>
    <definedName name="INSULT44">#REF!</definedName>
    <definedName name="INSULT45">#REF!</definedName>
    <definedName name="INSULT46">#REF!</definedName>
    <definedName name="INSULT47">#REF!</definedName>
    <definedName name="INSULT51">#REF!</definedName>
    <definedName name="INSULT52">#REF!</definedName>
    <definedName name="INSULT53">#REF!</definedName>
    <definedName name="INSULT54">#REF!</definedName>
    <definedName name="INSULT55">#REF!</definedName>
    <definedName name="INSULT56">#REF!</definedName>
    <definedName name="INSULT57">#REF!</definedName>
    <definedName name="INSULT61">#REF!</definedName>
    <definedName name="INSULT62">#REF!</definedName>
    <definedName name="INSULT63">#REF!</definedName>
    <definedName name="INSULT64">#REF!</definedName>
    <definedName name="INSULT65">#REF!</definedName>
    <definedName name="INSULT66">#REF!</definedName>
    <definedName name="INSULT67">#REF!</definedName>
    <definedName name="j">[2]PRESS!$AL$38</definedName>
    <definedName name="JIG">[1]!JIG</definedName>
    <definedName name="k">[2]PRESS!$AL$39</definedName>
    <definedName name="l">[2]PRESS!$AL$40</definedName>
    <definedName name="LCV설계">#REF!</definedName>
    <definedName name="LIM">#REF!</definedName>
    <definedName name="LineToAdd">#REF!</definedName>
    <definedName name="LOT">#REF!</definedName>
    <definedName name="LVCell">#REF!</definedName>
    <definedName name="L수량">#REF!</definedName>
    <definedName name="m">[2]PRESS!$AL$41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hTable">#REF!</definedName>
    <definedName name="Macro11">[1]!Macro11</definedName>
    <definedName name="Macro12">[1]!Macro12</definedName>
    <definedName name="Macro13">[1]!Macro13</definedName>
    <definedName name="Macro14">[1]!Macro14</definedName>
    <definedName name="MatTable">#REF!</definedName>
    <definedName name="MboBlankLine">#REF!</definedName>
    <definedName name="MboBlankLines">#REF!</definedName>
    <definedName name="MboCheckManualInsertion">#REF!</definedName>
    <definedName name="MboEndLine">#REF!</definedName>
    <definedName name="MboSheetName">#REF!</definedName>
    <definedName name="MboTestedArea1">#REF!</definedName>
    <definedName name="MboTestedArea2">#REF!</definedName>
    <definedName name="MboTestedArea3">#REF!</definedName>
    <definedName name="MboTestedArea4">#REF!</definedName>
    <definedName name="MboTestedArea5">#REF!</definedName>
    <definedName name="MboTestedArea6">#REF!</definedName>
    <definedName name="MJ">#REF!</definedName>
    <definedName name="MONTH">#N/A</definedName>
    <definedName name="M행">#REF!</definedName>
    <definedName name="n">[2]PRESS!$AL$42</definedName>
    <definedName name="NETWT">[2]PRESS!$AF$2</definedName>
    <definedName name="next1">#REF!</definedName>
    <definedName name="NFG1의_합계">#REF!</definedName>
    <definedName name="NFG2의_합계">#REF!</definedName>
    <definedName name="NFG3의_합계">#REF!</definedName>
    <definedName name="NFG4의_합계">#REF!</definedName>
    <definedName name="NJG1의_합계">#REF!</definedName>
    <definedName name="NJG2의_합계">#REF!</definedName>
    <definedName name="NJG3의_합계">#REF!</definedName>
    <definedName name="NJG4의_합계">#REF!</definedName>
    <definedName name="NNG1의_합계">#REF!</definedName>
    <definedName name="NNG2의_합계">#REF!</definedName>
    <definedName name="NNG3의_합계">#REF!</definedName>
    <definedName name="NNG4의_합계">#REF!</definedName>
    <definedName name="NRG1의_합계">#REF!</definedName>
    <definedName name="NRG2의_합계">#REF!</definedName>
    <definedName name="NRG3의_합계">#REF!</definedName>
    <definedName name="NRG4의_합계">#REF!</definedName>
    <definedName name="N행">#REF!</definedName>
    <definedName name="o">[2]PRESS!$AM$36</definedName>
    <definedName name="p">[2]PRESS!$AM$37</definedName>
    <definedName name="PartSelect">#REF!</definedName>
    <definedName name="PartStuff">#REF!</definedName>
    <definedName name="PBL">#REF!</definedName>
    <definedName name="PBS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FMDP">#REF!</definedName>
    <definedName name="PHOLE">#REF!</definedName>
    <definedName name="Picked_Feats">#REF!</definedName>
    <definedName name="PIERTOT">#REF!</definedName>
    <definedName name="PIER합">#REF!</definedName>
    <definedName name="PITCH">#REF!</definedName>
    <definedName name="PJL">#REF!</definedName>
    <definedName name="PJS">#REF!</definedName>
    <definedName name="PJSL">#REF!</definedName>
    <definedName name="PJSS">#REF!</definedName>
    <definedName name="PL">#REF!</definedName>
    <definedName name="PlantFixed">#REF!</definedName>
    <definedName name="PLASTIC">#REF!</definedName>
    <definedName name="PLUG_CAP">#REF!</definedName>
    <definedName name="PP">#REF!</definedName>
    <definedName name="PPFL">#REF!</definedName>
    <definedName name="PPFS">#REF!</definedName>
    <definedName name="PPL">#REF!</definedName>
    <definedName name="PPS">#REF!</definedName>
    <definedName name="PPvalidity">#REF!</definedName>
    <definedName name="PRESS">#REF!</definedName>
    <definedName name="PRESS_COST">[2]PRESS!$AH$21</definedName>
    <definedName name="_xlnm.Print_Area">#REF!</definedName>
    <definedName name="_xlnm.Print_Titles">#REF!</definedName>
    <definedName name="PS">#REF!</definedName>
    <definedName name="PTHK">#REF!</definedName>
    <definedName name="PUR">#REF!</definedName>
    <definedName name="PurchParts">#REF!</definedName>
    <definedName name="P가공비">[2]PRESS!$AH$20</definedName>
    <definedName name="P단가">[2]PRESS!$AB$12</definedName>
    <definedName name="P재료비">[2]PRESS!$AH$16</definedName>
    <definedName name="q">[2]PRESS!$AM$38</definedName>
    <definedName name="QW">[1]!QW</definedName>
    <definedName name="RangeItemNumbers">#REF!</definedName>
    <definedName name="RawMat">#REF!</definedName>
    <definedName name="Recorder" hidden="1">#REF!</definedName>
    <definedName name="REFLTOT">#REF!</definedName>
    <definedName name="REFL합">#REF!</definedName>
    <definedName name="RESULT11">#REF!</definedName>
    <definedName name="RESULT12">#REF!</definedName>
    <definedName name="RESULT13">#REF!</definedName>
    <definedName name="RESULT14">#REF!</definedName>
    <definedName name="RESULT15">#REF!</definedName>
    <definedName name="RESULT16">#REF!</definedName>
    <definedName name="RESULT17">#REF!</definedName>
    <definedName name="RESULT21">#REF!</definedName>
    <definedName name="RESULT22">#REF!</definedName>
    <definedName name="RESULT23">#REF!</definedName>
    <definedName name="RESULT24">#REF!</definedName>
    <definedName name="RESULT25">#REF!</definedName>
    <definedName name="RESULT26">#REF!</definedName>
    <definedName name="RESULT27">#REF!</definedName>
    <definedName name="RESULT31">#REF!</definedName>
    <definedName name="RESULT32">#REF!</definedName>
    <definedName name="RESULT33">#REF!</definedName>
    <definedName name="RESULT34">#REF!</definedName>
    <definedName name="RESULT35">#REF!</definedName>
    <definedName name="RESULT36">#REF!</definedName>
    <definedName name="RESULT37">#REF!</definedName>
    <definedName name="RESULT41">#REF!</definedName>
    <definedName name="RESULT42">#REF!</definedName>
    <definedName name="RESULT43">#REF!</definedName>
    <definedName name="RESULT44">#REF!</definedName>
    <definedName name="RESULT45">#REF!</definedName>
    <definedName name="RESULT46">#REF!</definedName>
    <definedName name="RESULT47">#REF!</definedName>
    <definedName name="RESULT51">#REF!</definedName>
    <definedName name="RESULT52">#REF!</definedName>
    <definedName name="RESULT53">#REF!</definedName>
    <definedName name="RESULT54">#REF!</definedName>
    <definedName name="RESULT55">#REF!</definedName>
    <definedName name="RESULT56">#REF!</definedName>
    <definedName name="RESULT57">#REF!</definedName>
    <definedName name="RESULT61">#REF!</definedName>
    <definedName name="RESULT62">#REF!</definedName>
    <definedName name="RESULT63">#REF!</definedName>
    <definedName name="RESULT64">#REF!</definedName>
    <definedName name="RESULT65">#REF!</definedName>
    <definedName name="RESULT66">#REF!</definedName>
    <definedName name="RESULT67">#REF!</definedName>
    <definedName name="RHD">[1]!RHD</definedName>
    <definedName name="RMWT">[2]PRESS!$AH$3</definedName>
    <definedName name="RngConsumRation">#REF!</definedName>
    <definedName name="RngData">#REF!</definedName>
    <definedName name="RngDataTotal">#REF!</definedName>
    <definedName name="RngDemoldA">#REF!</definedName>
    <definedName name="RngFieldTitle">#REF!</definedName>
    <definedName name="rngFoot">#REF!</definedName>
    <definedName name="RngGradeNo">#REF!</definedName>
    <definedName name="RngGWPc">#REF!</definedName>
    <definedName name="rngHead">#REF!</definedName>
    <definedName name="RngLevel">#REF!</definedName>
    <definedName name="RngLine">#REF!</definedName>
    <definedName name="RngMPS">#REF!</definedName>
    <definedName name="RngMtlName">#REF!</definedName>
    <definedName name="RngNetWPc">#REF!</definedName>
    <definedName name="RngPaintA">#REF!</definedName>
    <definedName name="RngPartNameC">#REF!</definedName>
    <definedName name="RngPartNameDescription">#REF!</definedName>
    <definedName name="RngPartNameE">#REF!</definedName>
    <definedName name="RngPartNCustomer">#REF!</definedName>
    <definedName name="RngPartNumber">#REF!</definedName>
    <definedName name="RngPartNYF">#REF!</definedName>
    <definedName name="RngPAUnit">#REF!</definedName>
    <definedName name="RngPcVSet">#REF!</definedName>
    <definedName name="RngPicture">#REF!</definedName>
    <definedName name="RngPNa">#REF!</definedName>
    <definedName name="RngPNb">#REF!</definedName>
    <definedName name="RngPNc">#REF!</definedName>
    <definedName name="RngPNd">#REF!</definedName>
    <definedName name="RngPNYF1">#REF!</definedName>
    <definedName name="RngPNYF2">#REF!</definedName>
    <definedName name="RngPPBlank">#REF!</definedName>
    <definedName name="RngPX">#REF!</definedName>
    <definedName name="RngPY">#REF!</definedName>
    <definedName name="RngPZ">#REF!</definedName>
    <definedName name="RngRH">#REF!</definedName>
    <definedName name="RngSpec">#REF!</definedName>
    <definedName name="RngStage">#REF!</definedName>
    <definedName name="RngTexture">#REF!</definedName>
    <definedName name="RngUnit">#REF!</definedName>
    <definedName name="RngUtl">#REF!</definedName>
    <definedName name="RngWallTh">#REF!</definedName>
    <definedName name="RngX">#REF!</definedName>
    <definedName name="RngY">#REF!</definedName>
    <definedName name="rngYFBOM">#REF!</definedName>
    <definedName name="rngYFBomData">#REF!</definedName>
    <definedName name="rngYFBomDataEx">#REF!</definedName>
    <definedName name="rngYFBomDetail">#REF!</definedName>
    <definedName name="rngYFBomDetailEx">#REF!</definedName>
    <definedName name="rngYFBOMEx">#REF!</definedName>
    <definedName name="rngYFBomHierarchy">#REF!</definedName>
    <definedName name="rngYFBomPartList">#REF!</definedName>
    <definedName name="rngYFBomPartListEx">#REF!</definedName>
    <definedName name="rngYFBomSequence">#REF!</definedName>
    <definedName name="rngYFBomTitleBar">#REF!</definedName>
    <definedName name="rngYFBomTitleBarEx">#REF!</definedName>
    <definedName name="rngYFBomTitleDetail">#REF!</definedName>
    <definedName name="rngYFBomTitleDetailEx">#REF!</definedName>
    <definedName name="rngYFBomTitleHierarchy">#REF!</definedName>
    <definedName name="rngYFBomTitleSequence">#REF!</definedName>
    <definedName name="RngZ">#REF!</definedName>
    <definedName name="ROW">#REF!</definedName>
    <definedName name="rr">[2]PRESS!$AM$39</definedName>
    <definedName name="s">[2]PRESS!$AM$40</definedName>
    <definedName name="sa">[1]!sa</definedName>
    <definedName name="saledate">#REF!</definedName>
    <definedName name="SCHEDULE">[1]!SCHEDULE</definedName>
    <definedName name="SelRange">#REF!</definedName>
    <definedName name="SFMDP">#REF!</definedName>
    <definedName name="SHOLE수">#REF!</definedName>
    <definedName name="SHOP2">[1]!SHOP2</definedName>
    <definedName name="SIZE">[2]PRESS!$Z$20</definedName>
    <definedName name="SS">[1]!SS</definedName>
    <definedName name="SSSS">[1]!SSSS</definedName>
    <definedName name="StartValue">0.475</definedName>
    <definedName name="StepValue">0.001</definedName>
    <definedName name="STHK">#REF!</definedName>
    <definedName name="STOPPER">#REF!</definedName>
    <definedName name="S대수계수">#REF!</definedName>
    <definedName name="S진척율">#REF!</definedName>
    <definedName name="S행">#REF!</definedName>
    <definedName name="t">[2]PRESS!$AM$41</definedName>
    <definedName name="TOT">#REF!</definedName>
    <definedName name="TOTAL">#REF!</definedName>
    <definedName name="TRIML">#REF!</definedName>
    <definedName name="TRIMS">#REF!</definedName>
    <definedName name="TRIMTOT">#REF!</definedName>
    <definedName name="TRIM합">#REF!</definedName>
    <definedName name="TRPITOT">#REF!</definedName>
    <definedName name="TRPI합">#REF!</definedName>
    <definedName name="TTTTTTTT">#REF!</definedName>
    <definedName name="TUBE">#REF!</definedName>
    <definedName name="TUMBLER">#REF!</definedName>
    <definedName name="T행">#REF!</definedName>
    <definedName name="u">[2]PRESS!$AM$42</definedName>
    <definedName name="v">[2]PRESS!$AN$36</definedName>
    <definedName name="VAN">#REF!</definedName>
    <definedName name="VistTool">#REF!</definedName>
    <definedName name="V행">#REF!</definedName>
    <definedName name="w">[2]PRESS!$AN$37</definedName>
    <definedName name="W.SHOP">[1]!W.SHOP</definedName>
    <definedName name="Width">4</definedName>
    <definedName name="WIRING">#REF!</definedName>
    <definedName name="WOO">#REF!</definedName>
    <definedName name="x">[2]PRESS!$AN$38</definedName>
    <definedName name="y">[2]PRESS!$AN$39</definedName>
    <definedName name="z">[2]PRESS!$AN$40</definedName>
    <definedName name="가격은">[2]PRESS!$AH$32</definedName>
    <definedName name="가공비1">[2]PRESS!$AJ$7</definedName>
    <definedName name="개발차종">[1]!개발차종</definedName>
    <definedName name="공장도">#REF!</definedName>
    <definedName name="공정">#REF!</definedName>
    <definedName name="공정계수">#REF!</definedName>
    <definedName name="권">[1]!권</definedName>
    <definedName name="권종원">[1]!권종원</definedName>
    <definedName name="기안갑">#REF!</definedName>
    <definedName name="기안을">#REF!</definedName>
    <definedName name="기준월">#REF!</definedName>
    <definedName name="김">#REF!</definedName>
    <definedName name="김세일">[1]!김세일</definedName>
    <definedName name="김일">[1]!김일</definedName>
    <definedName name="나">#REF!</definedName>
    <definedName name="난이계수">#REF!</definedName>
    <definedName name="난이도">#REF!</definedName>
    <definedName name="내장">#REF!</definedName>
    <definedName name="년생산대수">#REF!</definedName>
    <definedName name="담당">#REF!</definedName>
    <definedName name="대경화성">#REF!</definedName>
    <definedName name="대당수량">#REF!</definedName>
    <definedName name="대수계수">#REF!</definedName>
    <definedName name="대회">#REF!</definedName>
    <definedName name="두원공조">#REF!</definedName>
    <definedName name="두원정공">#REF!</definedName>
    <definedName name="두원중공업">#REF!</definedName>
    <definedName name="ㄹㄹ">"Dialog Frame 1"</definedName>
    <definedName name="设计1">#REF!</definedName>
    <definedName name="是的">#REF!</definedName>
    <definedName name="만">[1]!만</definedName>
    <definedName name="목록">[3]장적산출!$Q$9:$U$9</definedName>
    <definedName name="목차1">[3]장적산출!$Q$19:$W$19</definedName>
    <definedName name="목차2">#N/A</definedName>
    <definedName name="목표">#REF!</definedName>
    <definedName name="목표원가">[3]장적산출!$Q$10</definedName>
    <definedName name="박">[1]!박</definedName>
    <definedName name="복사">[1]!복사</definedName>
    <definedName name="색인">#REF!</definedName>
    <definedName name="생산능력">#REF!</definedName>
    <definedName name="설변">#REF!</definedName>
    <definedName name="설비구매">#REF!</definedName>
    <definedName name="설비상각비">#REF!</definedName>
    <definedName name="세일">[1]!세일</definedName>
    <definedName name="수정">[1]!수정</definedName>
    <definedName name="연결">[2]PRESS!$AF$24</definedName>
    <definedName name="예정량2">#REF!</definedName>
    <definedName name="예정일1">#REF!</definedName>
    <definedName name="예정일2">#REF!</definedName>
    <definedName name="우남">#REF!</definedName>
    <definedName name="원가영역">[2]PRESS!$AH$22:$AH$31</definedName>
    <definedName name="일">[1]!일</definedName>
    <definedName name="재고">#REF!</definedName>
    <definedName name="재질">[2]PRESS!$AB$8</definedName>
    <definedName name="전장">#REF!</definedName>
    <definedName name="전장su">#REF!</definedName>
    <definedName name="정보">[2]PRESS!$AB$14</definedName>
    <definedName name="제목">#REF!</definedName>
    <definedName name="조립라인">"Chart 6"</definedName>
    <definedName name="종원">[1]!종원</definedName>
    <definedName name="차종">#REF!</definedName>
    <definedName name="최종">#REF!</definedName>
    <definedName name="ㅋ후ㅊ">#REF!</definedName>
    <definedName name="투자현황">[1]!투자현황</definedName>
    <definedName name="평가양식">#REF!</definedName>
    <definedName name="표지1">#N/A</definedName>
    <definedName name="품번">'[4]SP-H700PartsList'!$C$1:$C$65536,'[4]SP-H700PartsList'!$C$1</definedName>
    <definedName name="한라공조">#REF!</definedName>
    <definedName name="형상L">#REF!</definedName>
    <definedName name="형상S">#REF!</definedName>
    <definedName name="형상수">#REF!</definedName>
    <definedName name="환율">#REF!</definedName>
    <definedName name="환율1">#REF!</definedName>
    <definedName name="흵____R3_t">#REF!</definedName>
    <definedName name="ㅏㅐㅐ">#REF!</definedName>
    <definedName name="ㅜ">#REF!</definedName>
    <definedName name="ㅣ">[1]!ㅣ</definedName>
    <definedName name="_______________ＤＡＴ２">'[6]計算書（加）'!$F$16:$F$19,'[6]計算書（加）'!$F$23:$G$24,'[6]計算書（加）'!$O$8,'[6]計算書（加）'!$M$29,'[6]計算書（加）'!$F$33,'[6]計算書（加）'!$F$37:$F$40,'[6]計算書（加）'!$P$22,'[6]計算書（加）'!$P$45,'[6]計算書（加）'!$P$45,'[6]計算書（加）'!$P$46,'[6]計算書（加）'!$P$45:$P$46,'[6]計算書（加）'!$P$45,'[6]計算書（加）'!$P$45:$P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<sst xmlns="http://schemas.openxmlformats.org/spreadsheetml/2006/main" count="97" uniqueCount="96">
  <si>
    <t>1月模具每日产能负荷表（新模具不含修改模）</t>
  </si>
  <si>
    <t>制程</t>
  </si>
  <si>
    <t>新模工时</t>
  </si>
  <si>
    <t>标准产能</t>
  </si>
  <si>
    <t>百分比</t>
  </si>
  <si>
    <t>空余产能</t>
  </si>
  <si>
    <t>设计</t>
  </si>
  <si>
    <t>编程</t>
  </si>
  <si>
    <t>CNC粗</t>
  </si>
  <si>
    <t>CNC电极</t>
  </si>
  <si>
    <t>CNC精</t>
  </si>
  <si>
    <t>五轴CNC</t>
  </si>
  <si>
    <t>中丝</t>
  </si>
  <si>
    <t>EDM</t>
  </si>
  <si>
    <t>抛光</t>
  </si>
  <si>
    <t>钳工</t>
  </si>
  <si>
    <t>合计</t>
  </si>
  <si>
    <t>模具编号</t>
  </si>
  <si>
    <t>LA26006</t>
  </si>
  <si>
    <t>No.</t>
  </si>
  <si>
    <t>项目名称</t>
  </si>
  <si>
    <t>Ziti</t>
  </si>
  <si>
    <t>产品名称</t>
  </si>
  <si>
    <t>Logitech Bioko M END CAP</t>
  </si>
  <si>
    <t>钳工组</t>
  </si>
  <si>
    <t>彭意</t>
  </si>
  <si>
    <t>里程碑</t>
  </si>
  <si>
    <t>序号</t>
  </si>
  <si>
    <t>工序</t>
  </si>
  <si>
    <t>项目工序预计完成时间</t>
  </si>
  <si>
    <t>项目工序实际完成时间</t>
  </si>
  <si>
    <t>模具开发开荒期</t>
  </si>
  <si>
    <t>项目立项</t>
  </si>
  <si>
    <t>2D图纸</t>
  </si>
  <si>
    <t>3D图纸</t>
  </si>
  <si>
    <t>MTD</t>
  </si>
  <si>
    <t>开模</t>
  </si>
  <si>
    <t>合模</t>
  </si>
  <si>
    <t>1.6.1</t>
  </si>
  <si>
    <t>模具FaiCpk报告</t>
  </si>
  <si>
    <t>【收敛黑盒A】白模尺寸与结构验证期</t>
  </si>
  <si>
    <t>T0试模</t>
  </si>
  <si>
    <t>2.1.1</t>
  </si>
  <si>
    <t>模具 T0 首次上机试模</t>
  </si>
  <si>
    <t>2.1.2</t>
  </si>
  <si>
    <t>T0 外观评估</t>
  </si>
  <si>
    <t>2.1.3</t>
  </si>
  <si>
    <t>T0 尺寸Fai报告</t>
  </si>
  <si>
    <t>2.1.4</t>
  </si>
  <si>
    <t>T0 3D报告</t>
  </si>
  <si>
    <t>问题检讨与修模流转</t>
  </si>
  <si>
    <t>2.2.1</t>
  </si>
  <si>
    <t>T0修模问题汇总</t>
  </si>
  <si>
    <t>2.2.2</t>
  </si>
  <si>
    <t>修模方案</t>
  </si>
  <si>
    <t>2.2.3</t>
  </si>
  <si>
    <t>模宝易报修</t>
  </si>
  <si>
    <t>2.2.4</t>
  </si>
  <si>
    <t>T0样品寄样</t>
  </si>
  <si>
    <t>白模修模损耗池 (节点补丁：缓冲黑盒化)</t>
  </si>
  <si>
    <t>2.3.1</t>
  </si>
  <si>
    <t>Tn 试模与尺寸修模反复验证</t>
  </si>
  <si>
    <t>咬花前置阀门</t>
  </si>
  <si>
    <t>尺寸达标</t>
  </si>
  <si>
    <t>结构干涉清零</t>
  </si>
  <si>
    <t>【收敛黑盒B】外观验证与微调期</t>
  </si>
  <si>
    <t>咬花加工</t>
  </si>
  <si>
    <t>咬花后试模与验证</t>
  </si>
  <si>
    <t>4.2.1</t>
  </si>
  <si>
    <t>t0试模 (咬花后首试用小写字母区分)</t>
  </si>
  <si>
    <t>4.2.2</t>
  </si>
  <si>
    <t>光泽、粗糙度测试</t>
  </si>
  <si>
    <t>4.2.3</t>
  </si>
  <si>
    <t>咬花后 FAI 尺寸复测</t>
  </si>
  <si>
    <t>4.2.4</t>
  </si>
  <si>
    <t>咬花后 3D 扫描复测</t>
  </si>
  <si>
    <t>问题闭环确认</t>
  </si>
  <si>
    <t>咬花后试模样品寄样</t>
  </si>
  <si>
    <t>纹理与外观微调反复验证</t>
  </si>
  <si>
    <t>PRR 试产准入</t>
  </si>
  <si>
    <t>系统资料本地固化</t>
  </si>
  <si>
    <t>5.1.1</t>
  </si>
  <si>
    <t>模宝易上传新模资料</t>
  </si>
  <si>
    <t>5.1.2</t>
  </si>
  <si>
    <t>MS 系统上传新模资料</t>
  </si>
  <si>
    <t>下发邮件通知试产</t>
  </si>
  <si>
    <t>正式试产</t>
  </si>
  <si>
    <t>签样</t>
  </si>
  <si>
    <t>寄样客户确认</t>
  </si>
  <si>
    <t>32模CPK测量</t>
  </si>
  <si>
    <t>试产3D扫描</t>
  </si>
  <si>
    <t>客户其他测试</t>
  </si>
  <si>
    <t>转量产</t>
  </si>
  <si>
    <t>客户跑线</t>
  </si>
  <si>
    <t>客户跑线通过</t>
  </si>
  <si>
    <t>内部下发邮件模具转入量产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</si>
</sst>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&quot;₩&quot;\!\-#,##0_ ;_ * &quot;-&quot;_ ;_ @_ "/>
    <numFmt numFmtId="177" formatCode="0.0%;[Red]\(0.0%\)"/>
    <numFmt numFmtId="178" formatCode="0.0%;\(0.0%\)"/>
    <numFmt numFmtId="179" formatCode="_(&quot;$&quot;* #,##0.00_);_(&quot;$&quot;* \(#,##0.00\);_(&quot;$&quot;* &quot;-&quot;??_);_(@_)"/>
    <numFmt numFmtId="180" formatCode="#,##0.00&quot; $&quot;;&quot;₩&quot;\!\-#,##0.00&quot; $&quot;"/>
    <numFmt numFmtId="181" formatCode="_-* #,##0_-;\-* #,##0_-;_-* &quot;-&quot;_-;_-@_-"/>
    <numFmt numFmtId="182" formatCode="&quot;S&quot;\ #,##0.00;\-&quot;S&quot;\ #,##0.00"/>
    <numFmt numFmtId="183" formatCode="#,##0.0_);\(#,##0.0\)"/>
    <numFmt numFmtId="184" formatCode="_-* #,##0.00_-;\-* #,##0.00_-;_-* &quot;-&quot;??_-;_-@_-"/>
    <numFmt numFmtId="185" formatCode="#,##0.0"/>
    <numFmt numFmtId="186" formatCode="\$#,##0.0_);[Red]\(\$#,##0.0\)"/>
    <numFmt numFmtId="187" formatCode="\$#,##0.00;\(\$\-#,##0.00\)"/>
    <numFmt numFmtId="188" formatCode="_(* #,##0.0000_);_(* \(#,##0.0000\);_(* &quot;-&quot;??_);_(@_)"/>
    <numFmt numFmtId="189" formatCode="&quot;?#,##0.00;[Red]\-&quot;&quot;?&quot;#,##0.00"/>
    <numFmt numFmtId="190" formatCode="&quot;₩&quot;#&quot;₩&quot;&quot;₩&quot;\!\!\!\,##0&quot;₩&quot;&quot;₩&quot;\!.00;[Red]&quot;₩&quot;&quot;₩&quot;&quot;₩&quot;&quot;₩&quot;&quot;₩&quot;&quot;₩&quot;\!\!\!\-#&quot;₩&quot;&quot;₩&quot;\!\!\!\,##0&quot;₩&quot;&quot;₩&quot;\!.00"/>
    <numFmt numFmtId="191" formatCode="#&quot;₩&quot;&quot;₩&quot;\!\!\!\,##0&quot;₩&quot;&quot;₩&quot;\!.000"/>
    <numFmt numFmtId="192" formatCode="_ * #&quot;₩&quot;&quot;₩&quot;\!\!\!\,##0_ ;_ * &quot;₩&quot;&quot;₩&quot;&quot;₩&quot;\!\!\!\-#&quot;₩&quot;&quot;₩&quot;\!\!\!\,##0_ ;_ * &quot;-&quot;_ ;_ @_ "/>
    <numFmt numFmtId="193" formatCode="_ * #&quot;₩&quot;&quot;₩&quot;\!\!\!\,##0&quot;₩&quot;&quot;₩&quot;\!.00_ ;_ * &quot;₩&quot;&quot;₩&quot;&quot;₩&quot;\!\!\!\-#&quot;₩&quot;&quot;₩&quot;\!\!\!\,##0&quot;₩&quot;&quot;₩&quot;\!.00_ ;_ * &quot;-&quot;??_ ;_ @_ "/>
    <numFmt numFmtId="194" formatCode="&quot;$&quot;#,##0"/>
    <numFmt numFmtId="195" formatCode="&quot;S&quot;\ #,##0;[Red]\-&quot;S&quot;\ #,##0"/>
    <numFmt numFmtId="196" formatCode="&quot;SFr.&quot;&quot;₩&quot;\!\ #\!\,##0\!.00;&quot;SFr.&quot;&quot;₩&quot;\!\ &quot;₩&quot;\!\-#\!\,##0\!.00"/>
    <numFmt numFmtId="197" formatCode="_-* #,##0_-;\!\-* #,##0_-;_-* &quot;-&quot;_-;_-@_-"/>
    <numFmt numFmtId="198" formatCode="&quot;₩&quot;#,##0.00\ ;\(&quot;₩&quot;#,##0.00\)"/>
    <numFmt numFmtId="199" formatCode="_ &quot;\&quot;* #,##0.00_ ;_ &quot;\&quot;* \-#,##0.00_ ;_ &quot;\&quot;* &quot;-&quot;??_ ;_ @_ "/>
    <numFmt numFmtId="200" formatCode="_ &quot;\&quot;* #,##0_ ;_ &quot;\&quot;* \-#,##0_ ;_ &quot;\&quot;* &quot;-&quot;_ ;_ @_ "/>
    <numFmt numFmtId="201" formatCode="0.00000&quot;  &quot;"/>
    <numFmt numFmtId="202" formatCode="&quot;₩&quot;#,##0;&quot;₩&quot;\-#,##0"/>
  </numFmts>
  <fonts count="6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微软雅黑 Light"/>
      <charset val="134"/>
    </font>
    <font>
      <b/>
      <sz val="12"/>
      <color theme="1"/>
      <name val="宋体"/>
      <charset val="134"/>
      <scheme val="minor"/>
    </font>
    <font>
      <b/>
      <sz val="10"/>
      <name val="微软雅黑 Light"/>
      <charset val="134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rgb="FF0000FF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1"/>
      <name val="돋움"/>
      <charset val="134"/>
    </font>
    <font>
      <sz val="12"/>
      <name val="바탕체"/>
      <charset val="134"/>
    </font>
    <font>
      <sz val="10"/>
      <name val="MS Sans Serif"/>
      <charset val="134"/>
    </font>
    <font>
      <sz val="12"/>
      <color indexed="20"/>
      <name val="新細明體"/>
      <charset val="134"/>
    </font>
    <font>
      <sz val="11"/>
      <name val="Times New Roman"/>
      <charset val="134"/>
    </font>
    <font>
      <sz val="20"/>
      <name val="돋움체"/>
      <charset val="134"/>
    </font>
    <font>
      <sz val="12"/>
      <color indexed="17"/>
      <name val="新細明體"/>
      <charset val="134"/>
    </font>
    <font>
      <sz val="11"/>
      <name val="돋움체"/>
      <charset val="134"/>
    </font>
    <font>
      <sz val="11"/>
      <name val="±¼¸²Ã¼"/>
      <charset val="129"/>
    </font>
    <font>
      <sz val="11"/>
      <color indexed="8"/>
      <name val="宋体"/>
      <charset val="134"/>
    </font>
    <font>
      <b/>
      <sz val="10"/>
      <name val="Helv"/>
      <charset val="134"/>
    </font>
    <font>
      <sz val="12"/>
      <name val="宋体"/>
      <charset val="134"/>
    </font>
    <font>
      <sz val="12"/>
      <name val="新細明體"/>
      <charset val="134"/>
    </font>
    <font>
      <sz val="10"/>
      <color indexed="8"/>
      <name val="Arial"/>
      <charset val="134"/>
    </font>
    <font>
      <sz val="8"/>
      <name val="Arial"/>
      <charset val="134"/>
    </font>
    <font>
      <b/>
      <sz val="12"/>
      <name val="Helv"/>
      <charset val="134"/>
    </font>
    <font>
      <b/>
      <sz val="12"/>
      <name val="Arial"/>
      <charset val="134"/>
    </font>
    <font>
      <b/>
      <sz val="11"/>
      <name val="Helv"/>
      <charset val="134"/>
    </font>
    <font>
      <u/>
      <sz val="12"/>
      <color indexed="12"/>
      <name val="宋体"/>
      <charset val="134"/>
    </font>
    <font>
      <b/>
      <sz val="18"/>
      <color indexed="24"/>
      <name val="바탕체"/>
      <charset val="134"/>
    </font>
    <font>
      <sz val="12"/>
      <color indexed="24"/>
      <name val="바탕체"/>
      <charset val="134"/>
    </font>
    <font>
      <b/>
      <sz val="15"/>
      <color indexed="24"/>
      <name val="바탕체"/>
      <charset val="134"/>
    </font>
    <font>
      <sz val="11"/>
      <color indexed="20"/>
      <name val="宋体"/>
      <charset val="134"/>
    </font>
    <font>
      <sz val="11"/>
      <name val="ＭＳ Ｐゴシック"/>
      <charset val="134"/>
    </font>
    <font>
      <sz val="11"/>
      <color indexed="17"/>
      <name val="宋体"/>
      <charset val="134"/>
    </font>
    <font>
      <sz val="11"/>
      <name val="HY울릉도L"/>
      <charset val="129"/>
    </font>
    <font>
      <sz val="12"/>
      <name val="Times New Roman"/>
      <charset val="134"/>
    </font>
    <font>
      <sz val="12"/>
      <name val="官帕眉"/>
      <charset val="134"/>
    </font>
    <font>
      <sz val="10"/>
      <name val="宋体"/>
      <charset val="134"/>
    </font>
    <font>
      <u/>
      <sz val="12"/>
      <color theme="10"/>
      <name val="宋体"/>
      <charset val="134"/>
    </font>
    <font>
      <sz val="12"/>
      <name val="奔覆眉"/>
      <charset val="134"/>
    </font>
    <font>
      <sz val="10"/>
      <name val="PragmaticaCTT"/>
      <charset val="134"/>
    </font>
    <font>
      <sz val="11"/>
      <name val="뼻뮝"/>
      <charset val="129"/>
    </font>
    <font>
      <sz val="12"/>
      <name val="돋움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</borders>
  <cellStyleXfs count="1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176" fontId="28" fillId="0" borderId="0" applyFont="0" applyFill="0" applyBorder="0" applyAlignment="0" applyProtection="0"/>
    <xf numFmtId="177" fontId="29" fillId="0" borderId="0" applyFill="0" applyBorder="0" applyAlignment="0"/>
    <xf numFmtId="0" fontId="30" fillId="0" borderId="0" applyFont="0" applyFill="0" applyBorder="0" applyAlignment="0" applyProtection="0"/>
    <xf numFmtId="178" fontId="29" fillId="0" borderId="0" applyFill="0" applyBorder="0" applyAlignment="0"/>
    <xf numFmtId="179" fontId="29" fillId="0" borderId="0" applyFill="0" applyBorder="0" applyAlignment="0"/>
    <xf numFmtId="0" fontId="30" fillId="0" borderId="0"/>
    <xf numFmtId="180" fontId="31" fillId="0" borderId="0" applyFont="0" applyFill="0" applyBorder="0" applyAlignment="0" applyProtection="0"/>
    <xf numFmtId="0" fontId="30" fillId="0" borderId="0">
      <alignment vertical="center"/>
    </xf>
    <xf numFmtId="41" fontId="28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31" fillId="0" borderId="0"/>
    <xf numFmtId="0" fontId="33" fillId="36" borderId="0" applyNumberFormat="0" applyBorder="0" applyAlignment="0" applyProtection="0">
      <alignment vertical="center"/>
    </xf>
    <xf numFmtId="181" fontId="28" fillId="0" borderId="0" applyFont="0" applyFill="0" applyBorder="0" applyAlignment="0" applyProtection="0"/>
    <xf numFmtId="0" fontId="29" fillId="0" borderId="0"/>
    <xf numFmtId="0" fontId="31" fillId="0" borderId="0" applyFont="0" applyFill="0" applyBorder="0" applyAlignment="0" applyProtection="0"/>
    <xf numFmtId="182" fontId="34" fillId="0" borderId="0" applyFill="0" applyBorder="0" applyAlignment="0"/>
    <xf numFmtId="183" fontId="29" fillId="0" borderId="0" applyFill="0" applyBorder="0" applyAlignment="0"/>
    <xf numFmtId="184" fontId="28" fillId="0" borderId="0" applyFont="0" applyFill="0" applyBorder="0" applyAlignment="0" applyProtection="0"/>
    <xf numFmtId="0" fontId="35" fillId="0" borderId="0">
      <alignment horizontal="centerContinuous"/>
    </xf>
    <xf numFmtId="0" fontId="36" fillId="37" borderId="0" applyNumberFormat="0" applyBorder="0" applyAlignment="0" applyProtection="0">
      <alignment vertical="center"/>
    </xf>
    <xf numFmtId="185" fontId="37" fillId="0" borderId="0" applyFont="0" applyFill="0" applyBorder="0" applyAlignment="0" applyProtection="0"/>
    <xf numFmtId="186" fontId="37" fillId="0" borderId="0" applyFont="0" applyFill="0" applyBorder="0" applyAlignment="0" applyProtection="0"/>
    <xf numFmtId="0" fontId="28" fillId="0" borderId="0"/>
    <xf numFmtId="0" fontId="38" fillId="0" borderId="0"/>
    <xf numFmtId="187" fontId="30" fillId="0" borderId="0" applyFill="0" applyBorder="0" applyAlignment="0"/>
    <xf numFmtId="188" fontId="29" fillId="0" borderId="0" applyFill="0" applyBorder="0" applyAlignment="0"/>
    <xf numFmtId="189" fontId="34" fillId="0" borderId="0" applyFill="0" applyBorder="0" applyAlignment="0"/>
    <xf numFmtId="0" fontId="39" fillId="0" borderId="0">
      <alignment vertical="center"/>
    </xf>
    <xf numFmtId="0" fontId="40" fillId="0" borderId="0"/>
    <xf numFmtId="0" fontId="41" fillId="0" borderId="0">
      <alignment vertical="center"/>
    </xf>
    <xf numFmtId="0" fontId="28" fillId="0" borderId="0" applyFont="0" applyFill="0" applyBorder="0" applyAlignment="0" applyProtection="0"/>
    <xf numFmtId="0" fontId="31" fillId="0" borderId="0" applyFont="0" applyFill="0" applyProtection="0"/>
    <xf numFmtId="179" fontId="29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190" fontId="30" fillId="0" borderId="0"/>
    <xf numFmtId="191" fontId="30" fillId="0" borderId="0"/>
    <xf numFmtId="183" fontId="29" fillId="0" borderId="0" applyFont="0" applyFill="0" applyBorder="0" applyAlignment="0" applyProtection="0"/>
    <xf numFmtId="0" fontId="42" fillId="0" borderId="0"/>
    <xf numFmtId="14" fontId="43" fillId="0" borderId="0" applyFill="0" applyBorder="0" applyAlignment="0"/>
    <xf numFmtId="9" fontId="0" fillId="0" borderId="0" applyFont="0" applyFill="0" applyBorder="0" applyAlignment="0" applyProtection="0">
      <alignment vertical="center"/>
    </xf>
    <xf numFmtId="38" fontId="44" fillId="38" borderId="0" applyNumberFormat="0" applyBorder="0" applyAlignment="0" applyProtection="0"/>
    <xf numFmtId="0" fontId="45" fillId="0" borderId="0">
      <alignment horizontal="left"/>
    </xf>
    <xf numFmtId="0" fontId="46" fillId="0" borderId="15" applyNumberFormat="0" applyAlignment="0" applyProtection="0">
      <alignment horizontal="left" vertical="center"/>
    </xf>
    <xf numFmtId="0" fontId="46" fillId="0" borderId="3">
      <alignment horizontal="left" vertical="center"/>
    </xf>
    <xf numFmtId="10" fontId="44" fillId="39" borderId="4" applyNumberFormat="0" applyBorder="0" applyAlignment="0" applyProtection="0"/>
    <xf numFmtId="192" fontId="28" fillId="0" borderId="0" applyFont="0" applyFill="0" applyBorder="0" applyAlignment="0" applyProtection="0"/>
    <xf numFmtId="193" fontId="28" fillId="0" borderId="0" applyFont="0" applyFill="0" applyBorder="0" applyAlignment="0" applyProtection="0"/>
    <xf numFmtId="0" fontId="47" fillId="0" borderId="16"/>
    <xf numFmtId="0" fontId="37" fillId="0" borderId="0"/>
    <xf numFmtId="189" fontId="34" fillId="0" borderId="0" applyFont="0" applyFill="0" applyBorder="0" applyAlignment="0" applyProtection="0"/>
    <xf numFmtId="194" fontId="34" fillId="0" borderId="0" applyFont="0" applyFill="0" applyBorder="0" applyAlignment="0" applyProtection="0"/>
    <xf numFmtId="10" fontId="28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47" fillId="0" borderId="0"/>
    <xf numFmtId="49" fontId="43" fillId="0" borderId="0" applyFill="0" applyBorder="0" applyAlignment="0"/>
    <xf numFmtId="195" fontId="34" fillId="0" borderId="0" applyFill="0" applyBorder="0" applyAlignment="0"/>
    <xf numFmtId="196" fontId="31" fillId="0" borderId="0"/>
    <xf numFmtId="0" fontId="28" fillId="0" borderId="0" applyBorder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3" fontId="50" fillId="0" borderId="0" applyFont="0" applyFill="0" applyBorder="0" applyAlignment="0" applyProtection="0"/>
    <xf numFmtId="0" fontId="51" fillId="0" borderId="0" applyNumberForma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3" fillId="0" borderId="0"/>
    <xf numFmtId="0" fontId="54" fillId="37" borderId="0" applyNumberFormat="0" applyBorder="0" applyAlignment="0" applyProtection="0">
      <alignment vertical="center"/>
    </xf>
    <xf numFmtId="0" fontId="32" fillId="0" borderId="0"/>
    <xf numFmtId="197" fontId="30" fillId="0" borderId="0" applyFont="0" applyFill="0" applyBorder="0" applyAlignment="0" applyProtection="0"/>
    <xf numFmtId="0" fontId="55" fillId="0" borderId="0">
      <alignment vertical="center"/>
    </xf>
    <xf numFmtId="0" fontId="39" fillId="0" borderId="0"/>
    <xf numFmtId="0" fontId="0" fillId="0" borderId="0"/>
    <xf numFmtId="43" fontId="56" fillId="0" borderId="0" applyFont="0" applyFill="0" applyBorder="0" applyAlignment="0" applyProtection="0"/>
    <xf numFmtId="198" fontId="50" fillId="0" borderId="0" applyFont="0" applyFill="0" applyBorder="0" applyAlignment="0" applyProtection="0"/>
    <xf numFmtId="0" fontId="0" fillId="0" borderId="0">
      <alignment vertical="center"/>
    </xf>
    <xf numFmtId="43" fontId="57" fillId="0" borderId="0" applyFont="0" applyFill="0" applyBorder="0" applyAlignment="0" applyProtection="0"/>
    <xf numFmtId="2" fontId="50" fillId="0" borderId="0" applyFont="0" applyFill="0" applyBorder="0" applyAlignment="0" applyProtection="0"/>
    <xf numFmtId="0" fontId="41" fillId="0" borderId="0"/>
    <xf numFmtId="0" fontId="5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99" fontId="31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41" fontId="57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56" fillId="0" borderId="0" applyFont="0" applyFill="0" applyBorder="0" applyAlignment="0" applyProtection="0"/>
    <xf numFmtId="0" fontId="60" fillId="0" borderId="0"/>
    <xf numFmtId="9" fontId="31" fillId="0" borderId="0" applyFont="0" applyFill="0" applyBorder="0" applyAlignment="0" applyProtection="0"/>
    <xf numFmtId="0" fontId="50" fillId="0" borderId="0" applyFont="0" applyFill="0" applyBorder="0" applyAlignment="0" applyProtection="0"/>
    <xf numFmtId="200" fontId="57" fillId="0" borderId="0" applyFont="0" applyFill="0" applyBorder="0" applyAlignment="0" applyProtection="0"/>
    <xf numFmtId="199" fontId="5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9" fillId="0" borderId="0" applyFont="0" applyFill="0" applyBorder="0" applyAlignment="0" applyProtection="0">
      <alignment vertical="center"/>
    </xf>
    <xf numFmtId="0" fontId="61" fillId="0" borderId="0"/>
    <xf numFmtId="9" fontId="55" fillId="0" borderId="0" applyFont="0" applyFill="0" applyBorder="0" applyAlignment="0" applyProtection="0">
      <alignment vertical="center"/>
    </xf>
    <xf numFmtId="0" fontId="62" fillId="0" borderId="0"/>
    <xf numFmtId="201" fontId="31" fillId="0" borderId="0" applyFont="0" applyFill="0" applyBorder="0" applyAlignment="0" applyProtection="0"/>
    <xf numFmtId="4" fontId="50" fillId="0" borderId="0" applyFont="0" applyFill="0" applyBorder="0" applyAlignment="0" applyProtection="0"/>
    <xf numFmtId="0" fontId="63" fillId="0" borderId="0" applyFont="0" applyFill="0" applyBorder="0" applyAlignment="0" applyProtection="0"/>
    <xf numFmtId="10" fontId="50" fillId="0" borderId="0" applyFont="0" applyFill="0" applyBorder="0" applyAlignment="0" applyProtection="0"/>
    <xf numFmtId="0" fontId="50" fillId="0" borderId="17" applyNumberFormat="0" applyFont="0" applyFill="0" applyAlignment="0" applyProtection="0"/>
    <xf numFmtId="202" fontId="50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128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4" xfId="128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3" borderId="4" xfId="128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0" fillId="0" borderId="0" xfId="129">
      <alignment vertical="center"/>
    </xf>
    <xf numFmtId="0" fontId="0" fillId="0" borderId="0" xfId="127">
      <alignment vertical="center"/>
    </xf>
    <xf numFmtId="0" fontId="0" fillId="0" borderId="0" xfId="129" applyAlignment="1">
      <alignment horizontal="center" vertical="center"/>
    </xf>
    <xf numFmtId="0" fontId="5" fillId="4" borderId="4" xfId="129" applyFont="1" applyFill="1" applyBorder="1" applyAlignment="1">
      <alignment horizontal="center" vertical="center"/>
    </xf>
    <xf numFmtId="0" fontId="5" fillId="0" borderId="4" xfId="129" applyFont="1" applyBorder="1" applyAlignment="1">
      <alignment horizontal="center" vertical="center"/>
    </xf>
    <xf numFmtId="1" fontId="5" fillId="0" borderId="4" xfId="129" applyNumberFormat="1" applyFont="1" applyBorder="1" applyAlignment="1">
      <alignment horizontal="center" vertical="center"/>
    </xf>
    <xf numFmtId="9" fontId="5" fillId="0" borderId="4" xfId="88" applyFont="1" applyBorder="1" applyAlignment="1">
      <alignment horizontal="center" vertical="center"/>
    </xf>
    <xf numFmtId="1" fontId="3" fillId="0" borderId="4" xfId="129" applyNumberFormat="1" applyFont="1" applyBorder="1" applyAlignment="1">
      <alignment horizontal="center" vertical="center"/>
    </xf>
    <xf numFmtId="0" fontId="6" fillId="0" borderId="4" xfId="129" applyFont="1" applyBorder="1" applyAlignment="1">
      <alignment horizontal="center" vertical="center"/>
    </xf>
    <xf numFmtId="1" fontId="0" fillId="0" borderId="0" xfId="129" applyNumberFormat="1">
      <alignment vertical="center"/>
    </xf>
    <xf numFmtId="0" fontId="7" fillId="5" borderId="0" xfId="127" applyFont="1" applyFill="1">
      <alignment vertical="center"/>
    </xf>
    <xf numFmtId="0" fontId="8" fillId="5" borderId="0" xfId="127" applyFont="1" applyFill="1">
      <alignment vertical="center"/>
    </xf>
    <xf numFmtId="9" fontId="0" fillId="0" borderId="0" xfId="127" applyNumberFormat="1">
      <alignment vertical="center"/>
    </xf>
  </cellXfs>
  <cellStyles count="1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KSM-001_KSP-101" xfId="49"/>
    <cellStyle name="Calc Percent (1)" xfId="50"/>
    <cellStyle name="Comma [_x0005_SummaryInform" xfId="51"/>
    <cellStyle name="PrePop Units (1)" xfId="52"/>
    <cellStyle name="Calc Units (0)" xfId="53"/>
    <cellStyle name="Currency1 5" xfId="54"/>
    <cellStyle name="yInformation" xfId="55"/>
    <cellStyle name="常规 2 4 12 2" xfId="56"/>
    <cellStyle name="_KSM-001(승)_1" xfId="57"/>
    <cellStyle name="_KSM-001_1" xfId="58"/>
    <cellStyle name="??&amp;O?&amp;H?_x0008__x000f__x0007_?_x0007__x0001__x0001__SH832SR HOUSING 承认源(2次模) 20120905" xfId="59"/>
    <cellStyle name="差_M509C成本分析 2 5" xfId="60"/>
    <cellStyle name="¤d¤A|i[0]_RESULTS" xfId="61"/>
    <cellStyle name="_RESULTS" xfId="62"/>
    <cellStyle name="_공정검사기준서" xfId="63"/>
    <cellStyle name="Text Indent C" xfId="64"/>
    <cellStyle name="PrePop Currency (2)" xfId="65"/>
    <cellStyle name="¤d¤A|i_RESULTS" xfId="66"/>
    <cellStyle name="=today()" xfId="67"/>
    <cellStyle name="好_M509C成本分析 11" xfId="68"/>
    <cellStyle name="³f¹o [0]_RESULTS" xfId="69"/>
    <cellStyle name="³f¹o_RESULTS" xfId="70"/>
    <cellStyle name="Normal_ SG&amp;A Bridge " xfId="71"/>
    <cellStyle name="Ç¥ÁØ_¿¹¹æÁ¤ºñ" xfId="72"/>
    <cellStyle name="Calc Currency (0)" xfId="73"/>
    <cellStyle name="Calc Percent (0)" xfId="74"/>
    <cellStyle name="Calc Percent (2)" xfId="75"/>
    <cellStyle name="표준 9" xfId="76"/>
    <cellStyle name="category" xfId="77"/>
    <cellStyle name="常规 2 8" xfId="78"/>
    <cellStyle name="Comma [0]_ SG&amp;A Bridge " xfId="79"/>
    <cellStyle name="Comma [0]Ctls" xfId="80"/>
    <cellStyle name="Comma [00]" xfId="81"/>
    <cellStyle name="百分比 2" xfId="82"/>
    <cellStyle name="comma zerodec" xfId="83"/>
    <cellStyle name="Dollar (zero dec) 4" xfId="84"/>
    <cellStyle name="Currency [00]" xfId="85"/>
    <cellStyle name="常规 2 3 7 4" xfId="86"/>
    <cellStyle name="Date Short" xfId="87"/>
    <cellStyle name="百分比 2 2 2 2" xfId="88"/>
    <cellStyle name="Grey" xfId="89"/>
    <cellStyle name="HEADER" xfId="90"/>
    <cellStyle name="Header1" xfId="91"/>
    <cellStyle name="Header2" xfId="92"/>
    <cellStyle name="Input [yellow]" xfId="93"/>
    <cellStyle name="Milliers [0]_Arabian Spec" xfId="94"/>
    <cellStyle name="Milliers_Arabian Spec" xfId="95"/>
    <cellStyle name="Model" xfId="96"/>
    <cellStyle name="Normal - Style1" xfId="97"/>
    <cellStyle name="Percent [0]" xfId="98"/>
    <cellStyle name="Percent [00]" xfId="99"/>
    <cellStyle name="Percent [2]" xfId="100"/>
    <cellStyle name="Percent_#6 Temps &amp; Contractors" xfId="101"/>
    <cellStyle name="subhead" xfId="102"/>
    <cellStyle name="Text Indent A" xfId="103"/>
    <cellStyle name="Text Indent B" xfId="104"/>
    <cellStyle name="咬訌裝?INCOM1" xfId="105"/>
    <cellStyle name="样式 1" xfId="106"/>
    <cellStyle name="超链接 18" xfId="107"/>
    <cellStyle name="고정출력1" xfId="108"/>
    <cellStyle name="자리수0" xfId="109"/>
    <cellStyle name="고정출력2" xfId="110"/>
    <cellStyle name="百分比 4 4 5" xfId="111"/>
    <cellStyle name="差_125" xfId="112"/>
    <cellStyle name="標準 2 3" xfId="113"/>
    <cellStyle name="好_SH1330S HOUSING_3次模(Spl成绩书)设计变更后130208" xfId="114"/>
    <cellStyle name="常规 3 2 2" xfId="115"/>
    <cellStyle name="쉼표 [0]_관리계획서(J200)" xfId="116"/>
    <cellStyle name="표준 2" xfId="117"/>
    <cellStyle name="常规 2_模具成本2015" xfId="118"/>
    <cellStyle name="常规 4 29 2" xfId="119"/>
    <cellStyle name="千位_laroux" xfId="120"/>
    <cellStyle name="화폐기호" xfId="121"/>
    <cellStyle name="常规 14 2" xfId="122"/>
    <cellStyle name="霓付_laroux" xfId="123"/>
    <cellStyle name="고정소숫점" xfId="124"/>
    <cellStyle name="常规 10" xfId="125"/>
    <cellStyle name="常规 13" xfId="126"/>
    <cellStyle name="常规 14 2 2" xfId="127"/>
    <cellStyle name="常规 3 3" xfId="128"/>
    <cellStyle name="常规 35 2" xfId="129"/>
    <cellStyle name="통화_95" xfId="130"/>
    <cellStyle name="통화 [0]_95" xfId="131"/>
    <cellStyle name="超链接 2" xfId="132"/>
    <cellStyle name="霓付 [0]_laroux" xfId="133"/>
    <cellStyle name="千分位[0]_laroux" xfId="134"/>
    <cellStyle name="千位[0]_laroux" xfId="135"/>
    <cellStyle name="钎霖_laroux" xfId="136"/>
    <cellStyle name="백분율_95" xfId="137"/>
    <cellStyle name="날짜" xfId="138"/>
    <cellStyle name="烹拳 [0]_laroux" xfId="139"/>
    <cellStyle name="烹拳_laroux" xfId="140"/>
    <cellStyle name="千分位_laroux" xfId="141"/>
    <cellStyle name="千位分隔 2" xfId="142"/>
    <cellStyle name="咬訌裝?report-2 " xfId="143"/>
    <cellStyle name="백분율 2" xfId="144"/>
    <cellStyle name="뷭?_빟랹둴봃섟 " xfId="145"/>
    <cellStyle name="스타일 22" xfId="146"/>
    <cellStyle name="자리수" xfId="147"/>
    <cellStyle name="콤마 [0]_  종  합  " xfId="148"/>
    <cellStyle name="퍼센트" xfId="149"/>
    <cellStyle name="합산" xfId="150"/>
    <cellStyle name="화폐기호0" xfId="151"/>
  </cellStyles>
  <tableStyles count="0" defaultTableStyle="TableStyleMedium9" defaultPivotStyle="PivotStyleLight16"/>
  <colors>
    <mruColors>
      <color rgb="00FFFFCC"/>
      <color rgb="00993300"/>
      <color rgb="000000FF"/>
      <color rgb="00000000"/>
      <color rgb="0000B050"/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6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设计</a:t>
            </a:r>
            <a:endParaRPr lang="zh-CN"/>
          </a:p>
        </c:rich>
      </c:tx>
      <c:layout>
        <c:manualLayout>
          <c:xMode val="edge"/>
          <c:yMode val="edge"/>
          <c:x val="0.491643432091925"/>
          <c:y val="0.009327847775400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33120975671896"/>
          <c:y val="0.0719256320431277"/>
          <c:w val="0.925979688315447"/>
          <c:h val="0.688507623871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525888"/>
        <c:axId val="245541120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45525888"/>
        <c:axId val="245541120"/>
      </c:lineChart>
      <c:catAx>
        <c:axId val="24552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5541120"/>
        <c:crosses val="autoZero"/>
        <c:auto val="1"/>
        <c:lblAlgn val="ctr"/>
        <c:lblOffset val="100"/>
        <c:noMultiLvlLbl val="0"/>
      </c:catAx>
      <c:valAx>
        <c:axId val="245541120"/>
        <c:scaling>
          <c:orientation val="minMax"/>
        </c:scaling>
        <c:delete val="0"/>
        <c:axPos val="l"/>
        <c:numFmt formatCode="0_);[Red]\(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552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a4b715-723e-4501-8844-bbaabc54d0ed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05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6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工艺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5879206193464"/>
          <c:y val="0.0966934543847525"/>
          <c:w val="0.918467827233424"/>
          <c:h val="0.710785240184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199680"/>
        <c:axId val="210201216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0199680"/>
        <c:axId val="210201216"/>
      </c:lineChart>
      <c:catAx>
        <c:axId val="21019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201216"/>
        <c:crosses val="autoZero"/>
        <c:auto val="1"/>
        <c:lblAlgn val="ctr"/>
        <c:lblOffset val="100"/>
        <c:noMultiLvlLbl val="0"/>
      </c:catAx>
      <c:valAx>
        <c:axId val="210201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19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e5e63e-bcd7-42be-a2e5-0f6088ee2553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050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6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编程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5142053565285"/>
          <c:y val="0.102897251479971"/>
          <c:w val="0.914619067402615"/>
          <c:h val="0.7035547932242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060800"/>
        <c:axId val="210062336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0060800"/>
        <c:axId val="210062336"/>
      </c:lineChart>
      <c:catAx>
        <c:axId val="21006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62336"/>
        <c:crosses val="autoZero"/>
        <c:auto val="1"/>
        <c:lblAlgn val="ctr"/>
        <c:lblOffset val="100"/>
        <c:noMultiLvlLbl val="0"/>
      </c:catAx>
      <c:valAx>
        <c:axId val="210062336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6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102165-8cfb-4283-9589-e91a1c60939a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050" baseline="0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20"/>
              <a:t>CNC</a:t>
            </a:r>
            <a:r>
              <a:rPr lang="zh-CN" sz="1320"/>
              <a:t>精</a:t>
            </a:r>
            <a:endParaRPr lang="zh-CN" sz="132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110336"/>
        <c:axId val="210111872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0110336"/>
        <c:axId val="210111872"/>
      </c:lineChart>
      <c:catAx>
        <c:axId val="2101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111872"/>
        <c:crosses val="autoZero"/>
        <c:auto val="1"/>
        <c:lblAlgn val="ctr"/>
        <c:lblOffset val="100"/>
        <c:noMultiLvlLbl val="0"/>
      </c:catAx>
      <c:valAx>
        <c:axId val="2101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110336"/>
        <c:crosses val="autoZero"/>
        <c:crossBetween val="between"/>
      </c:valAx>
      <c:spPr>
        <a:noFill/>
        <a:ln w="15875">
          <a:solidFill>
            <a:schemeClr val="bg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be0414-a24b-42ef-8b47-1913b8a3e344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中丝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16122358566668"/>
          <c:y val="0.189236224396244"/>
          <c:w val="0.913569172351777"/>
          <c:h val="0.605547314979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152448"/>
        <c:axId val="210162432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0152448"/>
        <c:axId val="210162432"/>
      </c:lineChart>
      <c:catAx>
        <c:axId val="2101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162432"/>
        <c:crosses val="autoZero"/>
        <c:auto val="1"/>
        <c:lblAlgn val="ctr"/>
        <c:lblOffset val="100"/>
        <c:noMultiLvlLbl val="0"/>
      </c:catAx>
      <c:valAx>
        <c:axId val="2101624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152448"/>
        <c:crosses val="autoZero"/>
        <c:crossBetween val="between"/>
      </c:valAx>
      <c:spPr>
        <a:noFill/>
        <a:ln w="15875">
          <a:solidFill>
            <a:schemeClr val="bg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6d7dac-f78e-4c86-b63e-e39e31b3e697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五轴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83904"/>
        <c:axId val="210285696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0283904"/>
        <c:axId val="210285696"/>
      </c:lineChart>
      <c:catAx>
        <c:axId val="21028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285696"/>
        <c:crosses val="autoZero"/>
        <c:auto val="1"/>
        <c:lblAlgn val="ctr"/>
        <c:lblOffset val="100"/>
        <c:noMultiLvlLbl val="0"/>
      </c:catAx>
      <c:valAx>
        <c:axId val="210285696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283904"/>
        <c:crosses val="autoZero"/>
        <c:crossBetween val="between"/>
      </c:valAx>
      <c:spPr>
        <a:noFill/>
        <a:ln w="15875">
          <a:solidFill>
            <a:schemeClr val="bg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9e8129-c7bc-446a-8c94-001178d5121b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EDM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02553930620718"/>
          <c:y val="0.041553267380039"/>
          <c:w val="0.894254197430452"/>
          <c:h val="0.7368163594935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744000"/>
        <c:axId val="287745536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7744000"/>
        <c:axId val="287745536"/>
      </c:lineChart>
      <c:catAx>
        <c:axId val="28774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745536"/>
        <c:crosses val="autoZero"/>
        <c:auto val="1"/>
        <c:lblAlgn val="ctr"/>
        <c:lblOffset val="100"/>
        <c:noMultiLvlLbl val="0"/>
      </c:catAx>
      <c:valAx>
        <c:axId val="287745536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744000"/>
        <c:crosses val="autoZero"/>
        <c:crossBetween val="between"/>
      </c:valAx>
      <c:spPr>
        <a:noFill/>
        <a:ln w="15875">
          <a:solidFill>
            <a:schemeClr val="bg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5200c8-d897-4e9a-8262-c7afd9549fcf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铣床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"实际产能"</c:f>
              <c:strCache>
                <c:ptCount val="1"/>
                <c:pt idx="0">
                  <c:v>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[5]产能负荷!$IN$105:$JR$105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[5]产能负荷!$IN$103:$JR$104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Tue</c:v>
                        </c:pt>
                        <c:pt idx="1">
                          <c:v>Wed</c:v>
                        </c:pt>
                        <c:pt idx="2">
                          <c:v>Thu</c:v>
                        </c:pt>
                        <c:pt idx="3">
                          <c:v>Fri</c:v>
                        </c:pt>
                        <c:pt idx="4">
                          <c:v>Sat</c:v>
                        </c:pt>
                        <c:pt idx="5">
                          <c:v>Sun</c:v>
                        </c:pt>
                        <c:pt idx="6">
                          <c:v>Mon</c:v>
                        </c:pt>
                        <c:pt idx="7">
                          <c:v>Tue</c:v>
                        </c:pt>
                        <c:pt idx="8">
                          <c:v>Wed</c:v>
                        </c:pt>
                        <c:pt idx="9">
                          <c:v>Thu</c:v>
                        </c:pt>
                        <c:pt idx="10">
                          <c:v>Fri</c:v>
                        </c:pt>
                        <c:pt idx="11">
                          <c:v>Sat</c:v>
                        </c:pt>
                        <c:pt idx="12">
                          <c:v>Sun</c:v>
                        </c:pt>
                        <c:pt idx="13">
                          <c:v>Mon</c:v>
                        </c:pt>
                        <c:pt idx="14">
                          <c:v>Tue</c:v>
                        </c:pt>
                        <c:pt idx="15">
                          <c:v>Wed</c:v>
                        </c:pt>
                        <c:pt idx="16">
                          <c:v>Thu</c:v>
                        </c:pt>
                        <c:pt idx="17">
                          <c:v>Fri</c:v>
                        </c:pt>
                        <c:pt idx="18">
                          <c:v>Sat</c:v>
                        </c:pt>
                        <c:pt idx="19">
                          <c:v>Sun</c:v>
                        </c:pt>
                        <c:pt idx="20">
                          <c:v>Mon</c:v>
                        </c:pt>
                        <c:pt idx="21">
                          <c:v>Tue</c:v>
                        </c:pt>
                        <c:pt idx="22">
                          <c:v>Wed</c:v>
                        </c:pt>
                        <c:pt idx="23">
                          <c:v>Thu</c:v>
                        </c:pt>
                        <c:pt idx="24">
                          <c:v>Fri</c:v>
                        </c:pt>
                        <c:pt idx="25">
                          <c:v>Sat</c:v>
                        </c:pt>
                        <c:pt idx="26">
                          <c:v>Sun</c:v>
                        </c:pt>
                        <c:pt idx="27">
                          <c:v>Mon</c:v>
                        </c:pt>
                        <c:pt idx="28">
                          <c:v>Tue</c:v>
                        </c:pt>
                        <c:pt idx="29">
                          <c:v>Wed</c:v>
                        </c:pt>
                        <c:pt idx="30">
                          <c:v>Thu</c:v>
                        </c:pt>
                      </c:lvl>
                      <c:lvl>
                        <c:pt idx="0">
                          <c:v>44256</c:v>
                        </c:pt>
                        <c:pt idx="1">
                          <c:v>44257</c:v>
                        </c:pt>
                        <c:pt idx="2">
                          <c:v>44258</c:v>
                        </c:pt>
                        <c:pt idx="3">
                          <c:v>44259</c:v>
                        </c:pt>
                        <c:pt idx="4">
                          <c:v>44260</c:v>
                        </c:pt>
                        <c:pt idx="5">
                          <c:v>44261</c:v>
                        </c:pt>
                        <c:pt idx="6">
                          <c:v>44262</c:v>
                        </c:pt>
                        <c:pt idx="7">
                          <c:v>44263</c:v>
                        </c:pt>
                        <c:pt idx="8">
                          <c:v>44264</c:v>
                        </c:pt>
                        <c:pt idx="9">
                          <c:v>44265</c:v>
                        </c:pt>
                        <c:pt idx="10">
                          <c:v>44266</c:v>
                        </c:pt>
                        <c:pt idx="11">
                          <c:v>44267</c:v>
                        </c:pt>
                        <c:pt idx="12">
                          <c:v>44268</c:v>
                        </c:pt>
                        <c:pt idx="13">
                          <c:v>44269</c:v>
                        </c:pt>
                        <c:pt idx="14">
                          <c:v>44270</c:v>
                        </c:pt>
                        <c:pt idx="15">
                          <c:v>44271</c:v>
                        </c:pt>
                        <c:pt idx="16">
                          <c:v>44272</c:v>
                        </c:pt>
                        <c:pt idx="17">
                          <c:v>44273</c:v>
                        </c:pt>
                        <c:pt idx="18">
                          <c:v>44274</c:v>
                        </c:pt>
                        <c:pt idx="19">
                          <c:v>44275</c:v>
                        </c:pt>
                        <c:pt idx="20">
                          <c:v>44276</c:v>
                        </c:pt>
                        <c:pt idx="21">
                          <c:v>44277</c:v>
                        </c:pt>
                        <c:pt idx="22">
                          <c:v>44278</c:v>
                        </c:pt>
                        <c:pt idx="23">
                          <c:v>44279</c:v>
                        </c:pt>
                        <c:pt idx="24">
                          <c:v>44280</c:v>
                        </c:pt>
                        <c:pt idx="25">
                          <c:v>44281</c:v>
                        </c:pt>
                        <c:pt idx="26">
                          <c:v>44282</c:v>
                        </c:pt>
                        <c:pt idx="27">
                          <c:v>44283</c:v>
                        </c:pt>
                        <c:pt idx="28">
                          <c:v>44284</c:v>
                        </c:pt>
                        <c:pt idx="29">
                          <c:v>44285</c:v>
                        </c:pt>
                        <c:pt idx="30">
                          <c:v>44286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896320"/>
        <c:axId val="287897856"/>
      </c:barChart>
      <c:lineChart>
        <c:grouping val="standard"/>
        <c:varyColors val="0"/>
        <c:ser>
          <c:idx val="1"/>
          <c:order val="1"/>
          <c:tx>
            <c:strRef>
              <c:f>"标准产能"</c:f>
              <c:strCache>
                <c:ptCount val="1"/>
                <c:pt idx="0">
                  <c:v>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[5]产能负荷!$IN$106:$JR$106</c:f>
              <c:numCache>
                <c:formatCode>General</c:formatCode>
                <c:ptCount val="31"/>
                <c:pt idx="0">
                  <c:v>5.76</c:v>
                </c:pt>
                <c:pt idx="1">
                  <c:v>5.76</c:v>
                </c:pt>
                <c:pt idx="2">
                  <c:v>5.76</c:v>
                </c:pt>
                <c:pt idx="3">
                  <c:v>5.76</c:v>
                </c:pt>
                <c:pt idx="4">
                  <c:v>5.76</c:v>
                </c:pt>
                <c:pt idx="5">
                  <c:v>0</c:v>
                </c:pt>
                <c:pt idx="6">
                  <c:v>5.76</c:v>
                </c:pt>
                <c:pt idx="7">
                  <c:v>5.76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5.76</c:v>
                </c:pt>
                <c:pt idx="12">
                  <c:v>0</c:v>
                </c:pt>
                <c:pt idx="13">
                  <c:v>5.76</c:v>
                </c:pt>
                <c:pt idx="14">
                  <c:v>5.76</c:v>
                </c:pt>
                <c:pt idx="15">
                  <c:v>5.76</c:v>
                </c:pt>
                <c:pt idx="16">
                  <c:v>5.76</c:v>
                </c:pt>
                <c:pt idx="17">
                  <c:v>5.76</c:v>
                </c:pt>
                <c:pt idx="18">
                  <c:v>5.76</c:v>
                </c:pt>
                <c:pt idx="19">
                  <c:v>0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0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[5]产能负荷!$IN$103:$JR$104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Tue</c:v>
                        </c:pt>
                        <c:pt idx="1">
                          <c:v>Wed</c:v>
                        </c:pt>
                        <c:pt idx="2">
                          <c:v>Thu</c:v>
                        </c:pt>
                        <c:pt idx="3">
                          <c:v>Fri</c:v>
                        </c:pt>
                        <c:pt idx="4">
                          <c:v>Sat</c:v>
                        </c:pt>
                        <c:pt idx="5">
                          <c:v>Sun</c:v>
                        </c:pt>
                        <c:pt idx="6">
                          <c:v>Mon</c:v>
                        </c:pt>
                        <c:pt idx="7">
                          <c:v>Tue</c:v>
                        </c:pt>
                        <c:pt idx="8">
                          <c:v>Wed</c:v>
                        </c:pt>
                        <c:pt idx="9">
                          <c:v>Thu</c:v>
                        </c:pt>
                        <c:pt idx="10">
                          <c:v>Fri</c:v>
                        </c:pt>
                        <c:pt idx="11">
                          <c:v>Sat</c:v>
                        </c:pt>
                        <c:pt idx="12">
                          <c:v>Sun</c:v>
                        </c:pt>
                        <c:pt idx="13">
                          <c:v>Mon</c:v>
                        </c:pt>
                        <c:pt idx="14">
                          <c:v>Tue</c:v>
                        </c:pt>
                        <c:pt idx="15">
                          <c:v>Wed</c:v>
                        </c:pt>
                        <c:pt idx="16">
                          <c:v>Thu</c:v>
                        </c:pt>
                        <c:pt idx="17">
                          <c:v>Fri</c:v>
                        </c:pt>
                        <c:pt idx="18">
                          <c:v>Sat</c:v>
                        </c:pt>
                        <c:pt idx="19">
                          <c:v>Sun</c:v>
                        </c:pt>
                        <c:pt idx="20">
                          <c:v>Mon</c:v>
                        </c:pt>
                        <c:pt idx="21">
                          <c:v>Tue</c:v>
                        </c:pt>
                        <c:pt idx="22">
                          <c:v>Wed</c:v>
                        </c:pt>
                        <c:pt idx="23">
                          <c:v>Thu</c:v>
                        </c:pt>
                        <c:pt idx="24">
                          <c:v>Fri</c:v>
                        </c:pt>
                        <c:pt idx="25">
                          <c:v>Sat</c:v>
                        </c:pt>
                        <c:pt idx="26">
                          <c:v>Sun</c:v>
                        </c:pt>
                        <c:pt idx="27">
                          <c:v>Mon</c:v>
                        </c:pt>
                        <c:pt idx="28">
                          <c:v>Tue</c:v>
                        </c:pt>
                        <c:pt idx="29">
                          <c:v>Wed</c:v>
                        </c:pt>
                        <c:pt idx="30">
                          <c:v>Thu</c:v>
                        </c:pt>
                      </c:lvl>
                      <c:lvl>
                        <c:pt idx="0">
                          <c:v>44256</c:v>
                        </c:pt>
                        <c:pt idx="1">
                          <c:v>44257</c:v>
                        </c:pt>
                        <c:pt idx="2">
                          <c:v>44258</c:v>
                        </c:pt>
                        <c:pt idx="3">
                          <c:v>44259</c:v>
                        </c:pt>
                        <c:pt idx="4">
                          <c:v>44260</c:v>
                        </c:pt>
                        <c:pt idx="5">
                          <c:v>44261</c:v>
                        </c:pt>
                        <c:pt idx="6">
                          <c:v>44262</c:v>
                        </c:pt>
                        <c:pt idx="7">
                          <c:v>44263</c:v>
                        </c:pt>
                        <c:pt idx="8">
                          <c:v>44264</c:v>
                        </c:pt>
                        <c:pt idx="9">
                          <c:v>44265</c:v>
                        </c:pt>
                        <c:pt idx="10">
                          <c:v>44266</c:v>
                        </c:pt>
                        <c:pt idx="11">
                          <c:v>44267</c:v>
                        </c:pt>
                        <c:pt idx="12">
                          <c:v>44268</c:v>
                        </c:pt>
                        <c:pt idx="13">
                          <c:v>44269</c:v>
                        </c:pt>
                        <c:pt idx="14">
                          <c:v>44270</c:v>
                        </c:pt>
                        <c:pt idx="15">
                          <c:v>44271</c:v>
                        </c:pt>
                        <c:pt idx="16">
                          <c:v>44272</c:v>
                        </c:pt>
                        <c:pt idx="17">
                          <c:v>44273</c:v>
                        </c:pt>
                        <c:pt idx="18">
                          <c:v>44274</c:v>
                        </c:pt>
                        <c:pt idx="19">
                          <c:v>44275</c:v>
                        </c:pt>
                        <c:pt idx="20">
                          <c:v>44276</c:v>
                        </c:pt>
                        <c:pt idx="21">
                          <c:v>44277</c:v>
                        </c:pt>
                        <c:pt idx="22">
                          <c:v>44278</c:v>
                        </c:pt>
                        <c:pt idx="23">
                          <c:v>44279</c:v>
                        </c:pt>
                        <c:pt idx="24">
                          <c:v>44280</c:v>
                        </c:pt>
                        <c:pt idx="25">
                          <c:v>44281</c:v>
                        </c:pt>
                        <c:pt idx="26">
                          <c:v>44282</c:v>
                        </c:pt>
                        <c:pt idx="27">
                          <c:v>44283</c:v>
                        </c:pt>
                        <c:pt idx="28">
                          <c:v>44284</c:v>
                        </c:pt>
                        <c:pt idx="29">
                          <c:v>44285</c:v>
                        </c:pt>
                        <c:pt idx="30">
                          <c:v>44286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7896320"/>
        <c:axId val="287897856"/>
      </c:lineChart>
      <c:catAx>
        <c:axId val="2878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897856"/>
        <c:crosses val="autoZero"/>
        <c:auto val="1"/>
        <c:lblAlgn val="ctr"/>
        <c:lblOffset val="100"/>
        <c:noMultiLvlLbl val="0"/>
      </c:catAx>
      <c:valAx>
        <c:axId val="28789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8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e43c4d-e048-4e9c-a4a5-75c25809d484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磨床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"实际产能"</c:f>
              <c:strCache>
                <c:ptCount val="1"/>
                <c:pt idx="0">
                  <c:v>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[5]产能负荷!$IN$115:$JR$115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[5]产能负荷!$IN$113:$JR$114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Tue</c:v>
                        </c:pt>
                        <c:pt idx="1">
                          <c:v>Wed</c:v>
                        </c:pt>
                        <c:pt idx="2">
                          <c:v>Thu</c:v>
                        </c:pt>
                        <c:pt idx="3">
                          <c:v>Fri</c:v>
                        </c:pt>
                        <c:pt idx="4">
                          <c:v>Sat</c:v>
                        </c:pt>
                        <c:pt idx="5">
                          <c:v>Sun</c:v>
                        </c:pt>
                        <c:pt idx="6">
                          <c:v>Mon</c:v>
                        </c:pt>
                        <c:pt idx="7">
                          <c:v>Tue</c:v>
                        </c:pt>
                        <c:pt idx="8">
                          <c:v>Wed</c:v>
                        </c:pt>
                        <c:pt idx="9">
                          <c:v>Thu</c:v>
                        </c:pt>
                        <c:pt idx="10">
                          <c:v>Fri</c:v>
                        </c:pt>
                        <c:pt idx="11">
                          <c:v>Sat</c:v>
                        </c:pt>
                        <c:pt idx="12">
                          <c:v>Sun</c:v>
                        </c:pt>
                        <c:pt idx="13">
                          <c:v>Mon</c:v>
                        </c:pt>
                        <c:pt idx="14">
                          <c:v>Tue</c:v>
                        </c:pt>
                        <c:pt idx="15">
                          <c:v>Wed</c:v>
                        </c:pt>
                        <c:pt idx="16">
                          <c:v>Thu</c:v>
                        </c:pt>
                        <c:pt idx="17">
                          <c:v>Fri</c:v>
                        </c:pt>
                        <c:pt idx="18">
                          <c:v>Sat</c:v>
                        </c:pt>
                        <c:pt idx="19">
                          <c:v>Sun</c:v>
                        </c:pt>
                        <c:pt idx="20">
                          <c:v>Mon</c:v>
                        </c:pt>
                        <c:pt idx="21">
                          <c:v>Tue</c:v>
                        </c:pt>
                        <c:pt idx="22">
                          <c:v>Wed</c:v>
                        </c:pt>
                        <c:pt idx="23">
                          <c:v>Thu</c:v>
                        </c:pt>
                        <c:pt idx="24">
                          <c:v>Fri</c:v>
                        </c:pt>
                        <c:pt idx="25">
                          <c:v>Sat</c:v>
                        </c:pt>
                        <c:pt idx="26">
                          <c:v>Sun</c:v>
                        </c:pt>
                        <c:pt idx="27">
                          <c:v>Mon</c:v>
                        </c:pt>
                        <c:pt idx="28">
                          <c:v>Tue</c:v>
                        </c:pt>
                        <c:pt idx="29">
                          <c:v>Wed</c:v>
                        </c:pt>
                        <c:pt idx="30">
                          <c:v>Thu</c:v>
                        </c:pt>
                      </c:lvl>
                      <c:lvl>
                        <c:pt idx="0">
                          <c:v>44256</c:v>
                        </c:pt>
                        <c:pt idx="1">
                          <c:v>44257</c:v>
                        </c:pt>
                        <c:pt idx="2">
                          <c:v>44258</c:v>
                        </c:pt>
                        <c:pt idx="3">
                          <c:v>44259</c:v>
                        </c:pt>
                        <c:pt idx="4">
                          <c:v>44260</c:v>
                        </c:pt>
                        <c:pt idx="5">
                          <c:v>44261</c:v>
                        </c:pt>
                        <c:pt idx="6">
                          <c:v>44262</c:v>
                        </c:pt>
                        <c:pt idx="7">
                          <c:v>44263</c:v>
                        </c:pt>
                        <c:pt idx="8">
                          <c:v>44264</c:v>
                        </c:pt>
                        <c:pt idx="9">
                          <c:v>44265</c:v>
                        </c:pt>
                        <c:pt idx="10">
                          <c:v>44266</c:v>
                        </c:pt>
                        <c:pt idx="11">
                          <c:v>44267</c:v>
                        </c:pt>
                        <c:pt idx="12">
                          <c:v>44268</c:v>
                        </c:pt>
                        <c:pt idx="13">
                          <c:v>44269</c:v>
                        </c:pt>
                        <c:pt idx="14">
                          <c:v>44270</c:v>
                        </c:pt>
                        <c:pt idx="15">
                          <c:v>44271</c:v>
                        </c:pt>
                        <c:pt idx="16">
                          <c:v>44272</c:v>
                        </c:pt>
                        <c:pt idx="17">
                          <c:v>44273</c:v>
                        </c:pt>
                        <c:pt idx="18">
                          <c:v>44274</c:v>
                        </c:pt>
                        <c:pt idx="19">
                          <c:v>44275</c:v>
                        </c:pt>
                        <c:pt idx="20">
                          <c:v>44276</c:v>
                        </c:pt>
                        <c:pt idx="21">
                          <c:v>44277</c:v>
                        </c:pt>
                        <c:pt idx="22">
                          <c:v>44278</c:v>
                        </c:pt>
                        <c:pt idx="23">
                          <c:v>44279</c:v>
                        </c:pt>
                        <c:pt idx="24">
                          <c:v>44280</c:v>
                        </c:pt>
                        <c:pt idx="25">
                          <c:v>44281</c:v>
                        </c:pt>
                        <c:pt idx="26">
                          <c:v>44282</c:v>
                        </c:pt>
                        <c:pt idx="27">
                          <c:v>44283</c:v>
                        </c:pt>
                        <c:pt idx="28">
                          <c:v>44284</c:v>
                        </c:pt>
                        <c:pt idx="29">
                          <c:v>44285</c:v>
                        </c:pt>
                        <c:pt idx="30">
                          <c:v>44286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913088"/>
        <c:axId val="287914624"/>
      </c:barChart>
      <c:lineChart>
        <c:grouping val="standard"/>
        <c:varyColors val="0"/>
        <c:ser>
          <c:idx val="1"/>
          <c:order val="1"/>
          <c:tx>
            <c:strRef>
              <c:f>"标准产能"</c:f>
              <c:strCache>
                <c:ptCount val="1"/>
                <c:pt idx="0">
                  <c:v>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[5]产能负荷!$IN$116:$JR$116</c:f>
              <c:numCache>
                <c:formatCode>General</c:formatCode>
                <c:ptCount val="31"/>
                <c:pt idx="0">
                  <c:v>5.76</c:v>
                </c:pt>
                <c:pt idx="1">
                  <c:v>5.76</c:v>
                </c:pt>
                <c:pt idx="2">
                  <c:v>5.76</c:v>
                </c:pt>
                <c:pt idx="3">
                  <c:v>5.76</c:v>
                </c:pt>
                <c:pt idx="4">
                  <c:v>5.76</c:v>
                </c:pt>
                <c:pt idx="5">
                  <c:v>0</c:v>
                </c:pt>
                <c:pt idx="6">
                  <c:v>5.76</c:v>
                </c:pt>
                <c:pt idx="7">
                  <c:v>5.76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5.76</c:v>
                </c:pt>
                <c:pt idx="12">
                  <c:v>0</c:v>
                </c:pt>
                <c:pt idx="13">
                  <c:v>5.76</c:v>
                </c:pt>
                <c:pt idx="14">
                  <c:v>5.76</c:v>
                </c:pt>
                <c:pt idx="15">
                  <c:v>5.76</c:v>
                </c:pt>
                <c:pt idx="16">
                  <c:v>5.76</c:v>
                </c:pt>
                <c:pt idx="17">
                  <c:v>5.76</c:v>
                </c:pt>
                <c:pt idx="18">
                  <c:v>5.76</c:v>
                </c:pt>
                <c:pt idx="19">
                  <c:v>0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0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[5]产能负荷!$IN$113:$JR$114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Tue</c:v>
                        </c:pt>
                        <c:pt idx="1">
                          <c:v>Wed</c:v>
                        </c:pt>
                        <c:pt idx="2">
                          <c:v>Thu</c:v>
                        </c:pt>
                        <c:pt idx="3">
                          <c:v>Fri</c:v>
                        </c:pt>
                        <c:pt idx="4">
                          <c:v>Sat</c:v>
                        </c:pt>
                        <c:pt idx="5">
                          <c:v>Sun</c:v>
                        </c:pt>
                        <c:pt idx="6">
                          <c:v>Mon</c:v>
                        </c:pt>
                        <c:pt idx="7">
                          <c:v>Tue</c:v>
                        </c:pt>
                        <c:pt idx="8">
                          <c:v>Wed</c:v>
                        </c:pt>
                        <c:pt idx="9">
                          <c:v>Thu</c:v>
                        </c:pt>
                        <c:pt idx="10">
                          <c:v>Fri</c:v>
                        </c:pt>
                        <c:pt idx="11">
                          <c:v>Sat</c:v>
                        </c:pt>
                        <c:pt idx="12">
                          <c:v>Sun</c:v>
                        </c:pt>
                        <c:pt idx="13">
                          <c:v>Mon</c:v>
                        </c:pt>
                        <c:pt idx="14">
                          <c:v>Tue</c:v>
                        </c:pt>
                        <c:pt idx="15">
                          <c:v>Wed</c:v>
                        </c:pt>
                        <c:pt idx="16">
                          <c:v>Thu</c:v>
                        </c:pt>
                        <c:pt idx="17">
                          <c:v>Fri</c:v>
                        </c:pt>
                        <c:pt idx="18">
                          <c:v>Sat</c:v>
                        </c:pt>
                        <c:pt idx="19">
                          <c:v>Sun</c:v>
                        </c:pt>
                        <c:pt idx="20">
                          <c:v>Mon</c:v>
                        </c:pt>
                        <c:pt idx="21">
                          <c:v>Tue</c:v>
                        </c:pt>
                        <c:pt idx="22">
                          <c:v>Wed</c:v>
                        </c:pt>
                        <c:pt idx="23">
                          <c:v>Thu</c:v>
                        </c:pt>
                        <c:pt idx="24">
                          <c:v>Fri</c:v>
                        </c:pt>
                        <c:pt idx="25">
                          <c:v>Sat</c:v>
                        </c:pt>
                        <c:pt idx="26">
                          <c:v>Sun</c:v>
                        </c:pt>
                        <c:pt idx="27">
                          <c:v>Mon</c:v>
                        </c:pt>
                        <c:pt idx="28">
                          <c:v>Tue</c:v>
                        </c:pt>
                        <c:pt idx="29">
                          <c:v>Wed</c:v>
                        </c:pt>
                        <c:pt idx="30">
                          <c:v>Thu</c:v>
                        </c:pt>
                      </c:lvl>
                      <c:lvl>
                        <c:pt idx="0">
                          <c:v>44256</c:v>
                        </c:pt>
                        <c:pt idx="1">
                          <c:v>44257</c:v>
                        </c:pt>
                        <c:pt idx="2">
                          <c:v>44258</c:v>
                        </c:pt>
                        <c:pt idx="3">
                          <c:v>44259</c:v>
                        </c:pt>
                        <c:pt idx="4">
                          <c:v>44260</c:v>
                        </c:pt>
                        <c:pt idx="5">
                          <c:v>44261</c:v>
                        </c:pt>
                        <c:pt idx="6">
                          <c:v>44262</c:v>
                        </c:pt>
                        <c:pt idx="7">
                          <c:v>44263</c:v>
                        </c:pt>
                        <c:pt idx="8">
                          <c:v>44264</c:v>
                        </c:pt>
                        <c:pt idx="9">
                          <c:v>44265</c:v>
                        </c:pt>
                        <c:pt idx="10">
                          <c:v>44266</c:v>
                        </c:pt>
                        <c:pt idx="11">
                          <c:v>44267</c:v>
                        </c:pt>
                        <c:pt idx="12">
                          <c:v>44268</c:v>
                        </c:pt>
                        <c:pt idx="13">
                          <c:v>44269</c:v>
                        </c:pt>
                        <c:pt idx="14">
                          <c:v>44270</c:v>
                        </c:pt>
                        <c:pt idx="15">
                          <c:v>44271</c:v>
                        </c:pt>
                        <c:pt idx="16">
                          <c:v>44272</c:v>
                        </c:pt>
                        <c:pt idx="17">
                          <c:v>44273</c:v>
                        </c:pt>
                        <c:pt idx="18">
                          <c:v>44274</c:v>
                        </c:pt>
                        <c:pt idx="19">
                          <c:v>44275</c:v>
                        </c:pt>
                        <c:pt idx="20">
                          <c:v>44276</c:v>
                        </c:pt>
                        <c:pt idx="21">
                          <c:v>44277</c:v>
                        </c:pt>
                        <c:pt idx="22">
                          <c:v>44278</c:v>
                        </c:pt>
                        <c:pt idx="23">
                          <c:v>44279</c:v>
                        </c:pt>
                        <c:pt idx="24">
                          <c:v>44280</c:v>
                        </c:pt>
                        <c:pt idx="25">
                          <c:v>44281</c:v>
                        </c:pt>
                        <c:pt idx="26">
                          <c:v>44282</c:v>
                        </c:pt>
                        <c:pt idx="27">
                          <c:v>44283</c:v>
                        </c:pt>
                        <c:pt idx="28">
                          <c:v>44284</c:v>
                        </c:pt>
                        <c:pt idx="29">
                          <c:v>44285</c:v>
                        </c:pt>
                        <c:pt idx="30">
                          <c:v>44286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7913088"/>
        <c:axId val="287914624"/>
      </c:lineChart>
      <c:catAx>
        <c:axId val="28791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914624"/>
        <c:crosses val="autoZero"/>
        <c:auto val="1"/>
        <c:lblAlgn val="ctr"/>
        <c:lblOffset val="100"/>
        <c:noMultiLvlLbl val="0"/>
      </c:catAx>
      <c:valAx>
        <c:axId val="28791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91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52b9ea-34ae-440d-9f37-5cab7fe95e70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抛光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954432"/>
        <c:axId val="287955968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7954432"/>
        <c:axId val="287955968"/>
      </c:lineChart>
      <c:catAx>
        <c:axId val="2879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955968"/>
        <c:crosses val="autoZero"/>
        <c:auto val="1"/>
        <c:lblAlgn val="ctr"/>
        <c:lblOffset val="100"/>
        <c:noMultiLvlLbl val="0"/>
      </c:catAx>
      <c:valAx>
        <c:axId val="28795596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9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088a69-1aeb-4fa8-a928-aa3fd7de9278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20" b="1">
                <a:solidFill>
                  <a:sysClr val="windowText" lastClr="000000"/>
                </a:solidFill>
              </a:rPr>
              <a:t>CNC</a:t>
            </a:r>
            <a:r>
              <a:rPr lang="zh-CN" sz="1320" b="1">
                <a:solidFill>
                  <a:sysClr val="windowText" lastClr="000000"/>
                </a:solidFill>
              </a:rPr>
              <a:t>电极</a:t>
            </a:r>
            <a:endParaRPr lang="zh-CN" sz="132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06918215223097"/>
          <c:y val="0.10209098556974"/>
          <c:w val="0.894570792768412"/>
          <c:h val="0.679050846726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88576"/>
        <c:axId val="287690112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7688576"/>
        <c:axId val="287690112"/>
      </c:lineChart>
      <c:catAx>
        <c:axId val="2876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87690112"/>
        <c:crosses val="autoZero"/>
        <c:auto val="1"/>
        <c:lblAlgn val="ctr"/>
        <c:lblOffset val="100"/>
        <c:noMultiLvlLbl val="0"/>
      </c:catAx>
      <c:valAx>
        <c:axId val="2876901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6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429886264217"/>
          <c:y val="0.271907806928425"/>
          <c:w val="0.0693011373578303"/>
          <c:h val="0.320499029248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62aea4-dcaf-4471-99c7-cda3f255cfb7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钳工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810624"/>
        <c:axId val="282824704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2810624"/>
        <c:axId val="282824704"/>
      </c:lineChart>
      <c:catAx>
        <c:axId val="2828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2824704"/>
        <c:crosses val="autoZero"/>
        <c:auto val="1"/>
        <c:lblAlgn val="ctr"/>
        <c:lblOffset val="100"/>
        <c:noMultiLvlLbl val="0"/>
      </c:catAx>
      <c:valAx>
        <c:axId val="282824704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2810624"/>
        <c:crosses val="autoZero"/>
        <c:crossBetween val="between"/>
      </c:valAx>
      <c:spPr>
        <a:noFill/>
        <a:ln w="15875">
          <a:solidFill>
            <a:schemeClr val="bg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ce190f-c6cb-4ae7-8e38-a68e5774404b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CNC</a:t>
            </a:r>
            <a:r>
              <a:rPr lang="zh-CN" altLang="en-US"/>
              <a:t>粗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"新模实际产能"</c:f>
              <c:strCache>
                <c:ptCount val="1"/>
                <c:pt idx="0">
                  <c:v>新模实际产能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"修模实际产能"</c:f>
              <c:strCache>
                <c:ptCount val="1"/>
                <c:pt idx="0">
                  <c:v>修模实际产能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942080"/>
        <c:axId val="282952064"/>
      </c:barChart>
      <c:lineChart>
        <c:grouping val="standard"/>
        <c:varyColors val="0"/>
        <c:ser>
          <c:idx val="1"/>
          <c:order val="1"/>
          <c:tx>
            <c:strRef>
              <c:f>"新模标准产能"</c:f>
              <c:strCache>
                <c:ptCount val="1"/>
                <c:pt idx="0">
                  <c:v>新模标准产能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2942080"/>
        <c:axId val="282952064"/>
      </c:lineChart>
      <c:catAx>
        <c:axId val="28294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2952064"/>
        <c:crosses val="autoZero"/>
        <c:auto val="1"/>
        <c:lblAlgn val="ctr"/>
        <c:lblOffset val="100"/>
        <c:noMultiLvlLbl val="0"/>
      </c:catAx>
      <c:valAx>
        <c:axId val="282952064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2942080"/>
        <c:crosses val="autoZero"/>
        <c:crossBetween val="between"/>
      </c:valAx>
      <c:spPr>
        <a:noFill/>
        <a:ln w="15875">
          <a:solidFill>
            <a:schemeClr val="bg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eb990f-9d4b-4f64-acac-2ae1b13acca8}"/>
      </c:ext>
    </c:extLst>
  </c:chart>
  <c:spPr>
    <a:solidFill>
      <a:schemeClr val="bg1"/>
    </a:solidFill>
    <a:ln w="158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1100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35947315263854"/>
          <c:y val="0.140438501613711"/>
          <c:w val="0.942192527080593"/>
          <c:h val="0.7041370207683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"新模工时"</c:f>
              <c:strCache>
                <c:ptCount val="1"/>
                <c:pt idx="0">
                  <c:v>新模工时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月负荷图标1月总!$T$4:$T$14</c:f>
              <c:strCache>
                <c:ptCount val="11"/>
                <c:pt idx="0">
                  <c:v>设计</c:v>
                </c:pt>
                <c:pt idx="1">
                  <c:v>编程</c:v>
                </c:pt>
                <c:pt idx="2">
                  <c:v>CNC粗</c:v>
                </c:pt>
                <c:pt idx="3">
                  <c:v>CNC电极</c:v>
                </c:pt>
                <c:pt idx="4">
                  <c:v>CNC精</c:v>
                </c:pt>
                <c:pt idx="5">
                  <c:v>五轴CNC</c:v>
                </c:pt>
                <c:pt idx="6">
                  <c:v>中丝</c:v>
                </c:pt>
                <c:pt idx="7">
                  <c:v>EDM</c:v>
                </c:pt>
                <c:pt idx="8">
                  <c:v>抛光</c:v>
                </c:pt>
                <c:pt idx="9">
                  <c:v>钳工</c:v>
                </c:pt>
                <c:pt idx="10">
                  <c:v>合计</c:v>
                </c:pt>
              </c:strCache>
            </c:strRef>
          </c:cat>
          <c:val>
            <c:numRef>
              <c:f>月负荷图标1月总!$U$4:$U$14</c:f>
              <c:numCache>
                <c:formatCode>General</c:formatCode>
                <c:ptCount val="11"/>
                <c:pt idx="0">
                  <c:v>153</c:v>
                </c:pt>
                <c:pt idx="1">
                  <c:v>116</c:v>
                </c:pt>
                <c:pt idx="2">
                  <c:v>221</c:v>
                </c:pt>
                <c:pt idx="3">
                  <c:v>130</c:v>
                </c:pt>
                <c:pt idx="4">
                  <c:v>272</c:v>
                </c:pt>
                <c:pt idx="5">
                  <c:v>210</c:v>
                </c:pt>
                <c:pt idx="6">
                  <c:v>55</c:v>
                </c:pt>
                <c:pt idx="7">
                  <c:v>130</c:v>
                </c:pt>
                <c:pt idx="8">
                  <c:v>34</c:v>
                </c:pt>
                <c:pt idx="9">
                  <c:v>235</c:v>
                </c:pt>
                <c:pt idx="10">
                  <c:v>1556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91180544"/>
        <c:axId val="291182080"/>
      </c:barChart>
      <c:lineChart>
        <c:grouping val="standard"/>
        <c:varyColors val="0"/>
        <c:ser>
          <c:idx val="1"/>
          <c:order val="1"/>
          <c:tx>
            <c:strRef>
              <c:f>"标准工时"</c:f>
              <c:strCache>
                <c:ptCount val="1"/>
                <c:pt idx="0">
                  <c:v>标准工时</c:v>
                </c:pt>
              </c:strCache>
            </c:strRef>
          </c:tx>
          <c:spPr>
            <a:ln w="28575" cap="rnd" cmpd="sng" algn="ctr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月负荷图标1月总!$T$4:$T$14</c:f>
              <c:strCache>
                <c:ptCount val="11"/>
                <c:pt idx="0">
                  <c:v>设计</c:v>
                </c:pt>
                <c:pt idx="1">
                  <c:v>编程</c:v>
                </c:pt>
                <c:pt idx="2">
                  <c:v>CNC粗</c:v>
                </c:pt>
                <c:pt idx="3">
                  <c:v>CNC电极</c:v>
                </c:pt>
                <c:pt idx="4">
                  <c:v>CNC精</c:v>
                </c:pt>
                <c:pt idx="5">
                  <c:v>五轴CNC</c:v>
                </c:pt>
                <c:pt idx="6">
                  <c:v>中丝</c:v>
                </c:pt>
                <c:pt idx="7">
                  <c:v>EDM</c:v>
                </c:pt>
                <c:pt idx="8">
                  <c:v>抛光</c:v>
                </c:pt>
                <c:pt idx="9">
                  <c:v>钳工</c:v>
                </c:pt>
                <c:pt idx="10">
                  <c:v>合计</c:v>
                </c:pt>
              </c:strCache>
            </c:strRef>
          </c:cat>
          <c:val>
            <c:numRef>
              <c:f>月负荷图标1月总!$V$4:$V$14</c:f>
              <c:numCache>
                <c:formatCode>0</c:formatCode>
                <c:ptCount val="11"/>
                <c:pt idx="0">
                  <c:v>704</c:v>
                </c:pt>
                <c:pt idx="1" c:formatCode="General">
                  <c:v>464</c:v>
                </c:pt>
                <c:pt idx="2" c:formatCode="General">
                  <c:v>512</c:v>
                </c:pt>
                <c:pt idx="3" c:formatCode="General">
                  <c:v>455</c:v>
                </c:pt>
                <c:pt idx="4" c:formatCode="General">
                  <c:v>342</c:v>
                </c:pt>
                <c:pt idx="5" c:formatCode="General">
                  <c:v>342</c:v>
                </c:pt>
                <c:pt idx="6" c:formatCode="General">
                  <c:v>221</c:v>
                </c:pt>
                <c:pt idx="7" c:formatCode="General">
                  <c:v>455</c:v>
                </c:pt>
                <c:pt idx="8" c:formatCode="General">
                  <c:v>99</c:v>
                </c:pt>
                <c:pt idx="9" c:formatCode="General">
                  <c:v>976</c:v>
                </c:pt>
                <c:pt idx="10">
                  <c:v>4570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1180544"/>
        <c:axId val="291182080"/>
      </c:lineChart>
      <c:catAx>
        <c:axId val="29118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182080"/>
        <c:crosses val="autoZero"/>
        <c:auto val="1"/>
        <c:lblAlgn val="ctr"/>
        <c:lblOffset val="100"/>
        <c:noMultiLvlLbl val="0"/>
      </c:catAx>
      <c:valAx>
        <c:axId val="29118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18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df0cb4-4115-4c43-8b8c-1b7ea52164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100" b="1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altLang="zh-CN"/>
              <a:t>1</a:t>
            </a:r>
            <a:r>
              <a:rPr lang="zh-CN" altLang="en-US"/>
              <a:t>月</a:t>
            </a:r>
            <a:r>
              <a:rPr lang="zh-CN"/>
              <a:t>产能负荷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90601702956145"/>
          <c:y val="0.212602518324477"/>
          <c:w val="0.941967477070061"/>
          <c:h val="0.6615869744208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月负荷图标1月总!$T$4:$T$14</c:f>
              <c:strCache>
                <c:ptCount val="11"/>
                <c:pt idx="0">
                  <c:v>设计</c:v>
                </c:pt>
                <c:pt idx="1">
                  <c:v>编程</c:v>
                </c:pt>
                <c:pt idx="2">
                  <c:v>CNC粗</c:v>
                </c:pt>
                <c:pt idx="3">
                  <c:v>CNC电极</c:v>
                </c:pt>
                <c:pt idx="4">
                  <c:v>CNC精</c:v>
                </c:pt>
                <c:pt idx="5">
                  <c:v>五轴CNC</c:v>
                </c:pt>
                <c:pt idx="6">
                  <c:v>中丝</c:v>
                </c:pt>
                <c:pt idx="7">
                  <c:v>EDM</c:v>
                </c:pt>
                <c:pt idx="8">
                  <c:v>抛光</c:v>
                </c:pt>
                <c:pt idx="9">
                  <c:v>钳工</c:v>
                </c:pt>
                <c:pt idx="10">
                  <c:v>合计</c:v>
                </c:pt>
              </c:strCache>
            </c:strRef>
          </c:cat>
          <c:val>
            <c:numRef>
              <c:f>月负荷图标1月总!$W$4:$W$14</c:f>
              <c:numCache>
                <c:formatCode>0%</c:formatCode>
                <c:ptCount val="11"/>
                <c:pt idx="0">
                  <c:v>0.217329545454545</c:v>
                </c:pt>
                <c:pt idx="1">
                  <c:v>0.25</c:v>
                </c:pt>
                <c:pt idx="2">
                  <c:v>0.431640625</c:v>
                </c:pt>
                <c:pt idx="3">
                  <c:v>0.285714285714286</c:v>
                </c:pt>
                <c:pt idx="4">
                  <c:v>0.795321637426901</c:v>
                </c:pt>
                <c:pt idx="5">
                  <c:v>0.614035087719298</c:v>
                </c:pt>
                <c:pt idx="6">
                  <c:v>0.248868778280543</c:v>
                </c:pt>
                <c:pt idx="7">
                  <c:v>0.285714285714286</c:v>
                </c:pt>
                <c:pt idx="8">
                  <c:v>0.343434343434343</c:v>
                </c:pt>
                <c:pt idx="9">
                  <c:v>0.24077868852459</c:v>
                </c:pt>
                <c:pt idx="10">
                  <c:v>0.340481400437637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31"/>
        <c:overlap val="-13"/>
        <c:axId val="291222272"/>
        <c:axId val="291224960"/>
      </c:barChart>
      <c:catAx>
        <c:axId val="29122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291224960"/>
        <c:crosses val="autoZero"/>
        <c:auto val="1"/>
        <c:lblAlgn val="ctr"/>
        <c:lblOffset val="100"/>
        <c:noMultiLvlLbl val="0"/>
      </c:catAx>
      <c:valAx>
        <c:axId val="2912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29122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96f984b-b240-4926-8436-af3e841a9e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200" b="1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5041</xdr:colOff>
      <xdr:row>1</xdr:row>
      <xdr:rowOff>142876</xdr:rowOff>
    </xdr:from>
    <xdr:to>
      <xdr:col>26</xdr:col>
      <xdr:colOff>632573</xdr:colOff>
      <xdr:row>17</xdr:row>
      <xdr:rowOff>156885</xdr:rowOff>
    </xdr:to>
    <xdr:graphicFrame>
      <xdr:nvGraphicFramePr>
        <xdr:cNvPr id="2" name="图表 1"/>
        <xdr:cNvGraphicFramePr/>
      </xdr:nvGraphicFramePr>
      <xdr:xfrm>
        <a:off x="193675" y="438150"/>
        <a:ext cx="16772890" cy="2757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12887</xdr:colOff>
      <xdr:row>19</xdr:row>
      <xdr:rowOff>28575</xdr:rowOff>
    </xdr:from>
    <xdr:to>
      <xdr:col>27</xdr:col>
      <xdr:colOff>484</xdr:colOff>
      <xdr:row>34</xdr:row>
      <xdr:rowOff>154081</xdr:rowOff>
    </xdr:to>
    <xdr:graphicFrame>
      <xdr:nvGraphicFramePr>
        <xdr:cNvPr id="3" name="图表 2"/>
        <xdr:cNvGraphicFramePr/>
      </xdr:nvGraphicFramePr>
      <xdr:xfrm>
        <a:off x="201930" y="3381375"/>
        <a:ext cx="1677797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193381</xdr:colOff>
      <xdr:row>35</xdr:row>
      <xdr:rowOff>158561</xdr:rowOff>
    </xdr:from>
    <xdr:to>
      <xdr:col>26</xdr:col>
      <xdr:colOff>662828</xdr:colOff>
      <xdr:row>51</xdr:row>
      <xdr:rowOff>158560</xdr:rowOff>
    </xdr:to>
    <xdr:graphicFrame>
      <xdr:nvGraphicFramePr>
        <xdr:cNvPr id="4" name="图表 3"/>
        <xdr:cNvGraphicFramePr/>
      </xdr:nvGraphicFramePr>
      <xdr:xfrm>
        <a:off x="189230" y="3381375"/>
        <a:ext cx="16790670" cy="2729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187937</xdr:colOff>
      <xdr:row>86</xdr:row>
      <xdr:rowOff>2242</xdr:rowOff>
    </xdr:from>
    <xdr:to>
      <xdr:col>27</xdr:col>
      <xdr:colOff>1681</xdr:colOff>
      <xdr:row>102</xdr:row>
      <xdr:rowOff>2242</xdr:rowOff>
    </xdr:to>
    <xdr:graphicFrame>
      <xdr:nvGraphicFramePr>
        <xdr:cNvPr id="5" name="图表 4"/>
        <xdr:cNvGraphicFramePr/>
      </xdr:nvGraphicFramePr>
      <xdr:xfrm>
        <a:off x="187325" y="11955780"/>
        <a:ext cx="167938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1601</xdr:colOff>
      <xdr:row>103</xdr:row>
      <xdr:rowOff>13445</xdr:rowOff>
    </xdr:from>
    <xdr:to>
      <xdr:col>27</xdr:col>
      <xdr:colOff>562</xdr:colOff>
      <xdr:row>119</xdr:row>
      <xdr:rowOff>13446</xdr:rowOff>
    </xdr:to>
    <xdr:graphicFrame>
      <xdr:nvGraphicFramePr>
        <xdr:cNvPr id="6" name="图表 5"/>
        <xdr:cNvGraphicFramePr/>
      </xdr:nvGraphicFramePr>
      <xdr:xfrm>
        <a:off x="190500" y="14881860"/>
        <a:ext cx="16789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6802</xdr:colOff>
      <xdr:row>119</xdr:row>
      <xdr:rowOff>161925</xdr:rowOff>
    </xdr:from>
    <xdr:to>
      <xdr:col>27</xdr:col>
      <xdr:colOff>21166</xdr:colOff>
      <xdr:row>135</xdr:row>
      <xdr:rowOff>161925</xdr:rowOff>
    </xdr:to>
    <xdr:graphicFrame>
      <xdr:nvGraphicFramePr>
        <xdr:cNvPr id="7" name="图表 6"/>
        <xdr:cNvGraphicFramePr/>
      </xdr:nvGraphicFramePr>
      <xdr:xfrm>
        <a:off x="195580" y="17773650"/>
        <a:ext cx="168052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196421</xdr:colOff>
      <xdr:row>136</xdr:row>
      <xdr:rowOff>161924</xdr:rowOff>
    </xdr:from>
    <xdr:to>
      <xdr:col>26</xdr:col>
      <xdr:colOff>677957</xdr:colOff>
      <xdr:row>200</xdr:row>
      <xdr:rowOff>19049</xdr:rowOff>
    </xdr:to>
    <xdr:graphicFrame>
      <xdr:nvGraphicFramePr>
        <xdr:cNvPr id="8" name="图表 7"/>
        <xdr:cNvGraphicFramePr/>
      </xdr:nvGraphicFramePr>
      <xdr:xfrm>
        <a:off x="189230" y="20687665"/>
        <a:ext cx="16790670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15446</xdr:colOff>
      <xdr:row>165</xdr:row>
      <xdr:rowOff>123825</xdr:rowOff>
    </xdr:from>
    <xdr:to>
      <xdr:col>27</xdr:col>
      <xdr:colOff>11206</xdr:colOff>
      <xdr:row>181</xdr:row>
      <xdr:rowOff>123825</xdr:rowOff>
    </xdr:to>
    <xdr:graphicFrame>
      <xdr:nvGraphicFramePr>
        <xdr:cNvPr id="9" name="图表 8"/>
        <xdr:cNvGraphicFramePr/>
      </xdr:nvGraphicFramePr>
      <xdr:xfrm>
        <a:off x="204470" y="22926675"/>
        <a:ext cx="1678622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155</xdr:colOff>
      <xdr:row>181</xdr:row>
      <xdr:rowOff>123825</xdr:rowOff>
    </xdr:from>
    <xdr:to>
      <xdr:col>27</xdr:col>
      <xdr:colOff>22412</xdr:colOff>
      <xdr:row>197</xdr:row>
      <xdr:rowOff>123825</xdr:rowOff>
    </xdr:to>
    <xdr:graphicFrame>
      <xdr:nvGraphicFramePr>
        <xdr:cNvPr id="10" name="图表 9"/>
        <xdr:cNvGraphicFramePr/>
      </xdr:nvGraphicFramePr>
      <xdr:xfrm>
        <a:off x="189230" y="22926675"/>
        <a:ext cx="1681289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173130</xdr:colOff>
      <xdr:row>217</xdr:row>
      <xdr:rowOff>49742</xdr:rowOff>
    </xdr:from>
    <xdr:to>
      <xdr:col>26</xdr:col>
      <xdr:colOff>679637</xdr:colOff>
      <xdr:row>233</xdr:row>
      <xdr:rowOff>49742</xdr:rowOff>
    </xdr:to>
    <xdr:graphicFrame>
      <xdr:nvGraphicFramePr>
        <xdr:cNvPr id="11" name="图表 10"/>
        <xdr:cNvGraphicFramePr/>
      </xdr:nvGraphicFramePr>
      <xdr:xfrm>
        <a:off x="172720" y="26233755"/>
        <a:ext cx="168071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70</xdr:row>
      <xdr:rowOff>26956</xdr:rowOff>
    </xdr:from>
    <xdr:to>
      <xdr:col>27</xdr:col>
      <xdr:colOff>28575</xdr:colOff>
      <xdr:row>85</xdr:row>
      <xdr:rowOff>65554</xdr:rowOff>
    </xdr:to>
    <xdr:graphicFrame>
      <xdr:nvGraphicFramePr>
        <xdr:cNvPr id="12" name="图表 11"/>
        <xdr:cNvGraphicFramePr/>
      </xdr:nvGraphicFramePr>
      <xdr:xfrm>
        <a:off x="189230" y="9237345"/>
        <a:ext cx="1681924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1680</xdr:colOff>
      <xdr:row>201</xdr:row>
      <xdr:rowOff>28575</xdr:rowOff>
    </xdr:from>
    <xdr:to>
      <xdr:col>27</xdr:col>
      <xdr:colOff>11206</xdr:colOff>
      <xdr:row>215</xdr:row>
      <xdr:rowOff>157442</xdr:rowOff>
    </xdr:to>
    <xdr:graphicFrame>
      <xdr:nvGraphicFramePr>
        <xdr:cNvPr id="13" name="图表 12"/>
        <xdr:cNvGraphicFramePr/>
      </xdr:nvGraphicFramePr>
      <xdr:xfrm>
        <a:off x="190500" y="23469600"/>
        <a:ext cx="16800195" cy="2528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52</xdr:row>
      <xdr:rowOff>161925</xdr:rowOff>
    </xdr:from>
    <xdr:to>
      <xdr:col>27</xdr:col>
      <xdr:colOff>11206</xdr:colOff>
      <xdr:row>68</xdr:row>
      <xdr:rowOff>158562</xdr:rowOff>
    </xdr:to>
    <xdr:graphicFrame>
      <xdr:nvGraphicFramePr>
        <xdr:cNvPr id="14" name="图表 13"/>
        <xdr:cNvGraphicFramePr/>
      </xdr:nvGraphicFramePr>
      <xdr:xfrm>
        <a:off x="189230" y="6286500"/>
        <a:ext cx="16801465" cy="2739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123824</xdr:colOff>
      <xdr:row>11</xdr:row>
      <xdr:rowOff>59531</xdr:rowOff>
    </xdr:from>
    <xdr:to>
      <xdr:col>17</xdr:col>
      <xdr:colOff>476250</xdr:colOff>
      <xdr:row>22</xdr:row>
      <xdr:rowOff>45244</xdr:rowOff>
    </xdr:to>
    <xdr:graphicFrame>
      <xdr:nvGraphicFramePr>
        <xdr:cNvPr id="2" name="图表 1"/>
        <xdr:cNvGraphicFramePr/>
      </xdr:nvGraphicFramePr>
      <xdr:xfrm>
        <a:off x="473710" y="3059430"/>
        <a:ext cx="11522075" cy="2300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176213</xdr:colOff>
      <xdr:row>0</xdr:row>
      <xdr:rowOff>166689</xdr:rowOff>
    </xdr:from>
    <xdr:to>
      <xdr:col>17</xdr:col>
      <xdr:colOff>490538</xdr:colOff>
      <xdr:row>10</xdr:row>
      <xdr:rowOff>250031</xdr:rowOff>
    </xdr:to>
    <xdr:graphicFrame>
      <xdr:nvGraphicFramePr>
        <xdr:cNvPr id="3" name="图表 2"/>
        <xdr:cNvGraphicFramePr/>
      </xdr:nvGraphicFramePr>
      <xdr:xfrm>
        <a:off x="526415" y="166370"/>
        <a:ext cx="11483340" cy="2788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9</xdr:row>
      <xdr:rowOff>0</xdr:rowOff>
    </xdr:from>
    <xdr:ext cx="619492" cy="0"/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5" t="29443" r="29769" b="52070"/>
        <a:stretch>
          <a:fillRect/>
        </a:stretch>
      </xdr:blipFill>
      <xdr:spPr>
        <a:xfrm>
          <a:off x="8360410" y="4521200"/>
          <a:ext cx="619125" cy="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75686" cy="0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60410" y="4521200"/>
          <a:ext cx="675640" cy="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590917" cy="0"/>
    <xdr:pic>
      <xdr:nvPicPr>
        <xdr:cNvPr id="4" name="图片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5" t="29443" r="29769" b="52070"/>
        <a:stretch>
          <a:fillRect/>
        </a:stretch>
      </xdr:blipFill>
      <xdr:spPr>
        <a:xfrm>
          <a:off x="8360410" y="4521200"/>
          <a:ext cx="590550" cy="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47111" cy="0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60410" y="4521200"/>
          <a:ext cx="647065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619492" cy="0"/>
    <xdr:pic>
      <xdr:nvPicPr>
        <xdr:cNvPr id="6" name="图片 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5" t="29443" r="29769" b="52070"/>
        <a:stretch>
          <a:fillRect/>
        </a:stretch>
      </xdr:blipFill>
      <xdr:spPr>
        <a:xfrm>
          <a:off x="9006205" y="4521200"/>
          <a:ext cx="619125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675686" cy="0"/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06205" y="4521200"/>
          <a:ext cx="67564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590917" cy="0"/>
    <xdr:pic>
      <xdr:nvPicPr>
        <xdr:cNvPr id="8" name="图片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5" t="29443" r="29769" b="52070"/>
        <a:stretch>
          <a:fillRect/>
        </a:stretch>
      </xdr:blipFill>
      <xdr:spPr>
        <a:xfrm>
          <a:off x="9006205" y="4521200"/>
          <a:ext cx="59055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647111" cy="0"/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06205" y="4521200"/>
          <a:ext cx="647065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619492" cy="0"/>
    <xdr:pic>
      <xdr:nvPicPr>
        <xdr:cNvPr id="10" name="图片 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5" t="29443" r="29769" b="52070"/>
        <a:stretch>
          <a:fillRect/>
        </a:stretch>
      </xdr:blipFill>
      <xdr:spPr>
        <a:xfrm>
          <a:off x="9006205" y="4521200"/>
          <a:ext cx="619125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675686" cy="0"/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06205" y="4521200"/>
          <a:ext cx="67564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590917" cy="0"/>
    <xdr:pic>
      <xdr:nvPicPr>
        <xdr:cNvPr id="12" name="图片 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5" t="29443" r="29769" b="52070"/>
        <a:stretch>
          <a:fillRect/>
        </a:stretch>
      </xdr:blipFill>
      <xdr:spPr>
        <a:xfrm>
          <a:off x="9006205" y="4521200"/>
          <a:ext cx="59055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647111" cy="0"/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06205" y="4521200"/>
          <a:ext cx="647065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652;\C\Chul2\VB-MN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824;&#50857;\C\&#51221;&#47749;&#44260;\&#45800;&#51312;&#51333;&#54633;\&#49444;&#44228;&#44396;&#47588;&#47785;&#54364;\&#53580;&#51060;&#48660;\&#49688;&#51221;&#50676;&#44036;TABLE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\&#50629;&#47924;&#47928;&#49436;&#51088;&#47308;\&#50629;&#47924;&#47928;&#49436;&#51088;&#47308;\UF-80%20&#51221;&#47532;\P801-04&#44160;&#49324;&#44592;&#51456;&#49436;(SHP-70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xid_en7t28z4jtt722\FileStorage\File\2025-04\&#27169;&#20855;&#36827;&#24230;&#34920;&amp;&#27169;&#20855;&#20135;&#33021;&#36127;&#33655;2022&#2418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K003\&#24029;&#23822;&#29983;&#25216;&#65314;&#65324;\keihin\&#26032;&#27231;&#31278;&#38283;&#30330;\&#65320;&#65325;&#12288;&#33337;&#22806;&#27231;\&#21069;&#21152;&#24037;\&#65338;&#65335;&#65305;&#65313;&#65293;&#65325;\&#65325;&#12288;&#20225;&#30011;&#21069;&#65288;&#32207;&#25968;&#22793;&#26356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definedNames>
      <definedName name="_K1"/>
      <definedName name="_V200"/>
      <definedName name="abc"/>
      <definedName name="DF"/>
      <definedName name="DP"/>
      <definedName name="eee"/>
      <definedName name="GH"/>
      <definedName name="JIG"/>
      <definedName name="Macro11"/>
      <definedName name="Macro12"/>
      <definedName name="Macro13"/>
      <definedName name="Macro14"/>
      <definedName name="QW"/>
      <definedName name="RHD"/>
      <definedName name="sa"/>
      <definedName name="SCHEDULE"/>
      <definedName name="SHOP2"/>
      <definedName name="SS"/>
      <definedName name="SSSS"/>
      <definedName name="W.SHOP"/>
      <definedName name="개발차종"/>
      <definedName name="권"/>
      <definedName name="권종원"/>
      <definedName name="김세일"/>
      <definedName name="김일"/>
      <definedName name="만"/>
      <definedName name="박"/>
      <definedName name="복사"/>
      <definedName name="세일"/>
      <definedName name="수정"/>
      <definedName name="일"/>
      <definedName name="종원"/>
      <definedName name="투자현황"/>
      <definedName name="ㅣ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ESS"/>
      <sheetName val="WELD-초기"/>
      <sheetName val="CO2"/>
      <sheetName val="PW"/>
      <sheetName val="SPOT"/>
      <sheetName val="STUD"/>
    </sheetNames>
    <sheetDataSet>
      <sheetData sheetId="0"/>
      <sheetData sheetId="1" refreshError="1"/>
      <sheetData sheetId="2"/>
      <sheetData sheetId="3"/>
      <sheetData sheetId="4" refreshError="1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표지그림"/>
      <sheetName val="겉표지"/>
      <sheetName val="표지"/>
      <sheetName val="기준1"/>
      <sheetName val="목차"/>
      <sheetName val="개요"/>
      <sheetName val="재료비"/>
      <sheetName val="L단가"/>
      <sheetName val="가공비"/>
      <sheetName val="수정가공비"/>
      <sheetName val="수정표준시간"/>
      <sheetName val="시간표"/>
      <sheetName val="장비적용"/>
      <sheetName val="장적"/>
      <sheetName val="경비율30"/>
      <sheetName val="장적산출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검사기준서양식P8014"/>
      <sheetName val="8001-0001"/>
      <sheetName val="8001-0002"/>
      <sheetName val="8001-0003"/>
      <sheetName val="8001-0004"/>
      <sheetName val="8001-0005"/>
      <sheetName val="8001-0006"/>
      <sheetName val="8001-0007"/>
      <sheetName val="8001-0008"/>
      <sheetName val="8001-0009"/>
      <sheetName val="8001-0010"/>
      <sheetName val="8001-0011"/>
      <sheetName val="8001-0012"/>
      <sheetName val="8001-0013"/>
      <sheetName val="8001-0014"/>
      <sheetName val="8001-0015"/>
      <sheetName val="8001-0016"/>
      <sheetName val="8001-0017"/>
      <sheetName val="8001-0018"/>
      <sheetName val="8001-0019"/>
      <sheetName val="SP-H700PartsList"/>
      <sheetName val="SP-H700검사규격"/>
      <sheetName val="SP-H700개정이력"/>
      <sheetName val="SP-H700Images"/>
      <sheetName val="원본"/>
      <sheetName val="BOM_LIST_정리"/>
      <sheetName val="OPT손익_내수"/>
      <sheetName val="05년"/>
      <sheetName val="OPT손익_수출"/>
      <sheetName val="#REF"/>
      <sheetName val="Macro1"/>
      <sheetName val="CODE"/>
      <sheetName val="A-A"/>
      <sheetName val="125PIECE"/>
      <sheetName val="64164"/>
      <sheetName val="Sheet1"/>
      <sheetName val="THEME_CODE"/>
      <sheetName val="CR_CODE"/>
      <sheetName val="1_원가인하"/>
      <sheetName val="기본데이타"/>
      <sheetName val="공통경비_04"/>
      <sheetName val="부서CODE"/>
      <sheetName val="CM매출"/>
      <sheetName val="종합"/>
      <sheetName val="기준정보"/>
      <sheetName val="내구품질향상1"/>
      <sheetName val="차체부품_INS_REPORT(갑)"/>
      <sheetName val="입고단가_LIST"/>
      <sheetName val="자체경비"/>
      <sheetName val="IC연동"/>
      <sheetName val="제조 경영"/>
      <sheetName val="4.20)통계적기법관리절차서"/>
      <sheetName val="G20-2A"/>
      <sheetName val="PC%계산"/>
      <sheetName val="1월월보"/>
      <sheetName val="95TOTREV"/>
      <sheetName val="镜筒工程不良现况6.9"/>
      <sheetName val="BDP"/>
      <sheetName val="CAUDIT"/>
      <sheetName val="장적산출"/>
      <sheetName val="2.대외공문"/>
      <sheetName val="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产能负荷"/>
      <sheetName val="月负荷图标5月总"/>
      <sheetName val="月负荷图标6月总"/>
      <sheetName val="月负荷图标7月总"/>
      <sheetName val="月负荷图标11月总"/>
      <sheetName val="月负荷图标9月总"/>
      <sheetName val="月负荷图标5月"/>
      <sheetName val="月负荷图标6月"/>
      <sheetName val="月负荷图标7月"/>
      <sheetName val="月负荷图标8月总 (2)"/>
      <sheetName val="月负荷图标8月"/>
      <sheetName val="月负荷图标10月总"/>
      <sheetName val="新模计划表 "/>
      <sheetName val="修模计划表 "/>
      <sheetName val="15.抛光"/>
      <sheetName val="14.钳工"/>
      <sheetName val="10.EDM"/>
      <sheetName val="3.设计 "/>
      <sheetName val="4.工艺 "/>
      <sheetName val="5.编程"/>
      <sheetName val="6.CNC粗"/>
      <sheetName val="7.CNC电极"/>
      <sheetName val="8.CNC精"/>
      <sheetName val="B9"/>
      <sheetName val="月负荷图标7月总 (2)"/>
    </sheetNames>
    <sheetDataSet>
      <sheetData sheetId="0">
        <row r="103">
          <cell r="IN103">
            <v>44256</v>
          </cell>
          <cell r="IO103">
            <v>44257</v>
          </cell>
          <cell r="IP103">
            <v>44258</v>
          </cell>
          <cell r="IQ103">
            <v>44259</v>
          </cell>
          <cell r="IR103">
            <v>44260</v>
          </cell>
          <cell r="IS103">
            <v>44261</v>
          </cell>
          <cell r="IT103">
            <v>44262</v>
          </cell>
          <cell r="IU103">
            <v>44263</v>
          </cell>
          <cell r="IV103">
            <v>44264</v>
          </cell>
          <cell r="IW103">
            <v>44265</v>
          </cell>
          <cell r="IX103">
            <v>44266</v>
          </cell>
          <cell r="IY103">
            <v>44267</v>
          </cell>
          <cell r="IZ103">
            <v>44268</v>
          </cell>
          <cell r="JA103">
            <v>44269</v>
          </cell>
          <cell r="JB103">
            <v>44270</v>
          </cell>
          <cell r="JC103">
            <v>44271</v>
          </cell>
          <cell r="JD103">
            <v>44272</v>
          </cell>
          <cell r="JE103">
            <v>44273</v>
          </cell>
          <cell r="JF103">
            <v>44274</v>
          </cell>
          <cell r="JG103">
            <v>44275</v>
          </cell>
          <cell r="JH103">
            <v>44276</v>
          </cell>
          <cell r="JI103">
            <v>44277</v>
          </cell>
          <cell r="JJ103">
            <v>44278</v>
          </cell>
          <cell r="JK103">
            <v>44279</v>
          </cell>
          <cell r="JL103">
            <v>44280</v>
          </cell>
          <cell r="JM103">
            <v>44281</v>
          </cell>
          <cell r="JN103">
            <v>44282</v>
          </cell>
          <cell r="JO103">
            <v>44283</v>
          </cell>
          <cell r="JP103">
            <v>44284</v>
          </cell>
          <cell r="JQ103">
            <v>44285</v>
          </cell>
          <cell r="JR103">
            <v>44286</v>
          </cell>
        </row>
        <row r="104">
          <cell r="IN104" t="str">
            <v>Tue</v>
          </cell>
          <cell r="IO104" t="str">
            <v>Wed</v>
          </cell>
          <cell r="IP104" t="str">
            <v>Thu</v>
          </cell>
          <cell r="IQ104" t="str">
            <v>Fri</v>
          </cell>
          <cell r="IR104" t="str">
            <v>Sat</v>
          </cell>
          <cell r="IS104" t="str">
            <v>Sun</v>
          </cell>
          <cell r="IT104" t="str">
            <v>Mon</v>
          </cell>
          <cell r="IU104" t="str">
            <v>Tue</v>
          </cell>
          <cell r="IV104" t="str">
            <v>Wed</v>
          </cell>
          <cell r="IW104" t="str">
            <v>Thu</v>
          </cell>
          <cell r="IX104" t="str">
            <v>Fri</v>
          </cell>
          <cell r="IY104" t="str">
            <v>Sat</v>
          </cell>
          <cell r="IZ104" t="str">
            <v>Sun</v>
          </cell>
          <cell r="JA104" t="str">
            <v>Mon</v>
          </cell>
          <cell r="JB104" t="str">
            <v>Tue</v>
          </cell>
          <cell r="JC104" t="str">
            <v>Wed</v>
          </cell>
          <cell r="JD104" t="str">
            <v>Thu</v>
          </cell>
          <cell r="JE104" t="str">
            <v>Fri</v>
          </cell>
          <cell r="JF104" t="str">
            <v>Sat</v>
          </cell>
          <cell r="JG104" t="str">
            <v>Sun</v>
          </cell>
          <cell r="JH104" t="str">
            <v>Mon</v>
          </cell>
          <cell r="JI104" t="str">
            <v>Tue</v>
          </cell>
          <cell r="JJ104" t="str">
            <v>Wed</v>
          </cell>
          <cell r="JK104" t="str">
            <v>Thu</v>
          </cell>
          <cell r="JL104" t="str">
            <v>Fri</v>
          </cell>
          <cell r="JM104" t="str">
            <v>Sat</v>
          </cell>
          <cell r="JN104" t="str">
            <v>Sun</v>
          </cell>
          <cell r="JO104" t="str">
            <v>Mon</v>
          </cell>
          <cell r="JP104" t="str">
            <v>Tue</v>
          </cell>
          <cell r="JQ104" t="str">
            <v>Wed</v>
          </cell>
          <cell r="JR104" t="str">
            <v>Thu</v>
          </cell>
        </row>
        <row r="105">
          <cell r="IN105">
            <v>0</v>
          </cell>
          <cell r="IO105">
            <v>0</v>
          </cell>
          <cell r="IP105">
            <v>0</v>
          </cell>
          <cell r="IQ105">
            <v>0</v>
          </cell>
          <cell r="IR105">
            <v>0</v>
          </cell>
          <cell r="IS105">
            <v>0</v>
          </cell>
          <cell r="IT105">
            <v>0</v>
          </cell>
          <cell r="IU105">
            <v>0</v>
          </cell>
          <cell r="IV105">
            <v>0</v>
          </cell>
          <cell r="IW105">
            <v>0</v>
          </cell>
          <cell r="IX105">
            <v>0</v>
          </cell>
          <cell r="IY105">
            <v>0</v>
          </cell>
          <cell r="IZ105">
            <v>0</v>
          </cell>
          <cell r="JA105">
            <v>0</v>
          </cell>
          <cell r="JB105">
            <v>0</v>
          </cell>
          <cell r="JC105">
            <v>0</v>
          </cell>
          <cell r="JD105">
            <v>0</v>
          </cell>
          <cell r="JE105">
            <v>0</v>
          </cell>
          <cell r="JF105">
            <v>0</v>
          </cell>
          <cell r="JG105">
            <v>0</v>
          </cell>
          <cell r="JH105">
            <v>0</v>
          </cell>
          <cell r="JI105">
            <v>0</v>
          </cell>
          <cell r="JJ105">
            <v>0</v>
          </cell>
          <cell r="JK105">
            <v>0</v>
          </cell>
          <cell r="JL105">
            <v>0</v>
          </cell>
          <cell r="JM105">
            <v>0</v>
          </cell>
          <cell r="JN105">
            <v>0</v>
          </cell>
          <cell r="JO105">
            <v>0</v>
          </cell>
          <cell r="JP105">
            <v>0</v>
          </cell>
          <cell r="JQ105">
            <v>0</v>
          </cell>
          <cell r="JR105">
            <v>0</v>
          </cell>
        </row>
        <row r="106">
          <cell r="IN106">
            <v>5.76</v>
          </cell>
          <cell r="IO106">
            <v>5.76</v>
          </cell>
          <cell r="IP106">
            <v>5.76</v>
          </cell>
          <cell r="IQ106">
            <v>5.76</v>
          </cell>
          <cell r="IR106">
            <v>5.76</v>
          </cell>
          <cell r="IS106">
            <v>0</v>
          </cell>
          <cell r="IT106">
            <v>5.76</v>
          </cell>
          <cell r="IU106">
            <v>5.76</v>
          </cell>
          <cell r="IV106">
            <v>5.76</v>
          </cell>
          <cell r="IW106">
            <v>5.76</v>
          </cell>
          <cell r="IX106">
            <v>5.76</v>
          </cell>
          <cell r="IY106">
            <v>5.76</v>
          </cell>
          <cell r="IZ106">
            <v>0</v>
          </cell>
          <cell r="JA106">
            <v>5.76</v>
          </cell>
          <cell r="JB106">
            <v>5.76</v>
          </cell>
          <cell r="JC106">
            <v>5.76</v>
          </cell>
          <cell r="JD106">
            <v>5.76</v>
          </cell>
          <cell r="JE106">
            <v>5.76</v>
          </cell>
          <cell r="JF106">
            <v>5.76</v>
          </cell>
          <cell r="JG106">
            <v>0</v>
          </cell>
          <cell r="JH106">
            <v>5.76</v>
          </cell>
          <cell r="JI106">
            <v>5.76</v>
          </cell>
          <cell r="JJ106">
            <v>5.76</v>
          </cell>
          <cell r="JK106">
            <v>5.76</v>
          </cell>
          <cell r="JL106">
            <v>5.76</v>
          </cell>
          <cell r="JM106">
            <v>5.76</v>
          </cell>
          <cell r="JN106">
            <v>0</v>
          </cell>
          <cell r="JO106">
            <v>5.76</v>
          </cell>
          <cell r="JP106">
            <v>5.76</v>
          </cell>
          <cell r="JQ106">
            <v>5.76</v>
          </cell>
          <cell r="JR106">
            <v>5.76</v>
          </cell>
        </row>
        <row r="113">
          <cell r="IN113">
            <v>44256</v>
          </cell>
          <cell r="IO113">
            <v>44257</v>
          </cell>
          <cell r="IP113">
            <v>44258</v>
          </cell>
          <cell r="IQ113">
            <v>44259</v>
          </cell>
          <cell r="IR113">
            <v>44260</v>
          </cell>
          <cell r="IS113">
            <v>44261</v>
          </cell>
          <cell r="IT113">
            <v>44262</v>
          </cell>
          <cell r="IU113">
            <v>44263</v>
          </cell>
          <cell r="IV113">
            <v>44264</v>
          </cell>
          <cell r="IW113">
            <v>44265</v>
          </cell>
          <cell r="IX113">
            <v>44266</v>
          </cell>
          <cell r="IY113">
            <v>44267</v>
          </cell>
          <cell r="IZ113">
            <v>44268</v>
          </cell>
          <cell r="JA113">
            <v>44269</v>
          </cell>
          <cell r="JB113">
            <v>44270</v>
          </cell>
          <cell r="JC113">
            <v>44271</v>
          </cell>
          <cell r="JD113">
            <v>44272</v>
          </cell>
          <cell r="JE113">
            <v>44273</v>
          </cell>
          <cell r="JF113">
            <v>44274</v>
          </cell>
          <cell r="JG113">
            <v>44275</v>
          </cell>
          <cell r="JH113">
            <v>44276</v>
          </cell>
          <cell r="JI113">
            <v>44277</v>
          </cell>
          <cell r="JJ113">
            <v>44278</v>
          </cell>
          <cell r="JK113">
            <v>44279</v>
          </cell>
          <cell r="JL113">
            <v>44280</v>
          </cell>
          <cell r="JM113">
            <v>44281</v>
          </cell>
          <cell r="JN113">
            <v>44282</v>
          </cell>
          <cell r="JO113">
            <v>44283</v>
          </cell>
          <cell r="JP113">
            <v>44284</v>
          </cell>
          <cell r="JQ113">
            <v>44285</v>
          </cell>
          <cell r="JR113">
            <v>44286</v>
          </cell>
        </row>
        <row r="114">
          <cell r="IN114" t="str">
            <v>Tue</v>
          </cell>
          <cell r="IO114" t="str">
            <v>Wed</v>
          </cell>
          <cell r="IP114" t="str">
            <v>Thu</v>
          </cell>
          <cell r="IQ114" t="str">
            <v>Fri</v>
          </cell>
          <cell r="IR114" t="str">
            <v>Sat</v>
          </cell>
          <cell r="IS114" t="str">
            <v>Sun</v>
          </cell>
          <cell r="IT114" t="str">
            <v>Mon</v>
          </cell>
          <cell r="IU114" t="str">
            <v>Tue</v>
          </cell>
          <cell r="IV114" t="str">
            <v>Wed</v>
          </cell>
          <cell r="IW114" t="str">
            <v>Thu</v>
          </cell>
          <cell r="IX114" t="str">
            <v>Fri</v>
          </cell>
          <cell r="IY114" t="str">
            <v>Sat</v>
          </cell>
          <cell r="IZ114" t="str">
            <v>Sun</v>
          </cell>
          <cell r="JA114" t="str">
            <v>Mon</v>
          </cell>
          <cell r="JB114" t="str">
            <v>Tue</v>
          </cell>
          <cell r="JC114" t="str">
            <v>Wed</v>
          </cell>
          <cell r="JD114" t="str">
            <v>Thu</v>
          </cell>
          <cell r="JE114" t="str">
            <v>Fri</v>
          </cell>
          <cell r="JF114" t="str">
            <v>Sat</v>
          </cell>
          <cell r="JG114" t="str">
            <v>Sun</v>
          </cell>
          <cell r="JH114" t="str">
            <v>Mon</v>
          </cell>
          <cell r="JI114" t="str">
            <v>Tue</v>
          </cell>
          <cell r="JJ114" t="str">
            <v>Wed</v>
          </cell>
          <cell r="JK114" t="str">
            <v>Thu</v>
          </cell>
          <cell r="JL114" t="str">
            <v>Fri</v>
          </cell>
          <cell r="JM114" t="str">
            <v>Sat</v>
          </cell>
          <cell r="JN114" t="str">
            <v>Sun</v>
          </cell>
          <cell r="JO114" t="str">
            <v>Mon</v>
          </cell>
          <cell r="JP114" t="str">
            <v>Tue</v>
          </cell>
          <cell r="JQ114" t="str">
            <v>Wed</v>
          </cell>
          <cell r="JR114" t="str">
            <v>Thu</v>
          </cell>
        </row>
        <row r="115">
          <cell r="IN115">
            <v>0</v>
          </cell>
          <cell r="IO115">
            <v>0</v>
          </cell>
          <cell r="IP115">
            <v>0</v>
          </cell>
          <cell r="IQ115">
            <v>0</v>
          </cell>
          <cell r="IR115">
            <v>0</v>
          </cell>
          <cell r="IS115">
            <v>0</v>
          </cell>
          <cell r="IT115">
            <v>0</v>
          </cell>
          <cell r="IU115">
            <v>0</v>
          </cell>
          <cell r="IV115">
            <v>0</v>
          </cell>
          <cell r="IW115">
            <v>0</v>
          </cell>
          <cell r="IX115">
            <v>0</v>
          </cell>
          <cell r="IY115">
            <v>0</v>
          </cell>
          <cell r="IZ115">
            <v>0</v>
          </cell>
          <cell r="JA115">
            <v>0</v>
          </cell>
          <cell r="JB115">
            <v>0</v>
          </cell>
          <cell r="JC115">
            <v>0</v>
          </cell>
          <cell r="JD115">
            <v>0</v>
          </cell>
          <cell r="JE115">
            <v>0</v>
          </cell>
          <cell r="JF115">
            <v>0</v>
          </cell>
          <cell r="JG115">
            <v>0</v>
          </cell>
          <cell r="JH115">
            <v>0</v>
          </cell>
          <cell r="JI115">
            <v>0</v>
          </cell>
          <cell r="JJ115">
            <v>0</v>
          </cell>
          <cell r="JK115">
            <v>0</v>
          </cell>
          <cell r="JL115">
            <v>0</v>
          </cell>
          <cell r="JM115">
            <v>0</v>
          </cell>
          <cell r="JN115">
            <v>0</v>
          </cell>
          <cell r="JO115">
            <v>0</v>
          </cell>
          <cell r="JP115">
            <v>0</v>
          </cell>
          <cell r="JQ115">
            <v>0</v>
          </cell>
          <cell r="JR115">
            <v>0</v>
          </cell>
        </row>
        <row r="116">
          <cell r="IN116">
            <v>5.76</v>
          </cell>
          <cell r="IO116">
            <v>5.76</v>
          </cell>
          <cell r="IP116">
            <v>5.76</v>
          </cell>
          <cell r="IQ116">
            <v>5.76</v>
          </cell>
          <cell r="IR116">
            <v>5.76</v>
          </cell>
          <cell r="IS116">
            <v>0</v>
          </cell>
          <cell r="IT116">
            <v>5.76</v>
          </cell>
          <cell r="IU116">
            <v>5.76</v>
          </cell>
          <cell r="IV116">
            <v>5.76</v>
          </cell>
          <cell r="IW116">
            <v>5.76</v>
          </cell>
          <cell r="IX116">
            <v>5.76</v>
          </cell>
          <cell r="IY116">
            <v>5.76</v>
          </cell>
          <cell r="IZ116">
            <v>0</v>
          </cell>
          <cell r="JA116">
            <v>5.76</v>
          </cell>
          <cell r="JB116">
            <v>5.76</v>
          </cell>
          <cell r="JC116">
            <v>5.76</v>
          </cell>
          <cell r="JD116">
            <v>5.76</v>
          </cell>
          <cell r="JE116">
            <v>5.76</v>
          </cell>
          <cell r="JF116">
            <v>5.76</v>
          </cell>
          <cell r="JG116">
            <v>0</v>
          </cell>
          <cell r="JH116">
            <v>5.76</v>
          </cell>
          <cell r="JI116">
            <v>5.76</v>
          </cell>
          <cell r="JJ116">
            <v>5.76</v>
          </cell>
          <cell r="JK116">
            <v>5.76</v>
          </cell>
          <cell r="JL116">
            <v>5.76</v>
          </cell>
          <cell r="JM116">
            <v>5.76</v>
          </cell>
          <cell r="JN116">
            <v>0</v>
          </cell>
          <cell r="JO116">
            <v>5.76</v>
          </cell>
          <cell r="JP116">
            <v>5.76</v>
          </cell>
          <cell r="JQ116">
            <v>5.76</v>
          </cell>
          <cell r="JR116">
            <v>5.76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コスト（加）"/>
      <sheetName val="計算書（加）"/>
      <sheetName val="係数（加）"/>
      <sheetName val="既存設備（加）"/>
      <sheetName val="ツーリングシート"/>
      <sheetName val="手計算"/>
      <sheetName val="96totcstsum"/>
      <sheetName val="销售收入A4"/>
      <sheetName val="Cal"/>
      <sheetName val="Allocation"/>
      <sheetName val="#REF"/>
      <sheetName val="Map"/>
      <sheetName val="VL PBT"/>
      <sheetName val="Rev"/>
      <sheetName val="Volumes"/>
      <sheetName val="03 Transportation Quoting"/>
      <sheetName val="一覧"/>
      <sheetName val="Data"/>
      <sheetName val="FULL BOM"/>
      <sheetName val="Releases"/>
      <sheetName val="EN114 &amp; SN95"/>
      <sheetName val="Target Cascade"/>
      <sheetName val="Cost Walk"/>
      <sheetName val="Facility"/>
      <sheetName val="Template"/>
      <sheetName val="Turnover"/>
      <sheetName val="Stockpile1"/>
      <sheetName val="3-参数"/>
      <sheetName val="Currency"/>
      <sheetName val="预测计划"/>
      <sheetName val="Sheet1"/>
      <sheetName val="包前牌照灯支架总成"/>
      <sheetName val="面板总成 "/>
      <sheetName val="螺钉装饰板总成"/>
      <sheetName val="SGM258左前轮罩总成"/>
      <sheetName val="SGM411前轮罩右总成（北美通用）"/>
      <sheetName val="SGM411前轮罩左总成（北美通用）"/>
      <sheetName val="D11前轮罩侧板总成 "/>
      <sheetName val="右挡水板总成"/>
      <sheetName val="左挡水板总成"/>
      <sheetName val="SGM411前轮罩右总成 备件"/>
      <sheetName val="SGM411前轮罩左总成 备件"/>
      <sheetName val="后轮罩外接件（左）总成"/>
      <sheetName val="后轮罩外接件（右）总成"/>
      <sheetName val="D11左后轮罩总成"/>
      <sheetName val="D11右前三角窗装饰盖板总成"/>
      <sheetName val="D11左前三角窗装饰盖板总成"/>
      <sheetName val="D11右后三角窗装饰盖板总成"/>
      <sheetName val="Master"/>
      <sheetName val="EN114VEPS"/>
      <sheetName val="Absol"/>
      <sheetName val="1.20"/>
      <sheetName val="10 Year Forecast"/>
      <sheetName val="96isstoiss"/>
      <sheetName val="Price List"/>
      <sheetName val="Auto Trans Total F&amp;T "/>
      <sheetName val="Casting"/>
      <sheetName val="Manual Trans Total F&amp;T"/>
      <sheetName val="V Engine Mfg Process"/>
      <sheetName val="26-JE"/>
      <sheetName val="27-AB"/>
      <sheetName val="10-Turnover"/>
      <sheetName val="24-CAPEX"/>
      <sheetName val="11-Material"/>
      <sheetName val="3-Base"/>
      <sheetName val="14-Labor Cost"/>
      <sheetName val="Report"/>
      <sheetName val="Adjustment2"/>
      <sheetName val="GIFS Data"/>
      <sheetName val="2-2装备人员 (2)"/>
      <sheetName val="BOM"/>
      <sheetName val="图号"/>
      <sheetName val="Price"/>
      <sheetName val="Rate"/>
      <sheetName val="Sheet2"/>
      <sheetName val="Ecos(0+12)"/>
      <sheetName val="Inv_RM"/>
      <sheetName val="BF_FG"/>
      <sheetName val="Item_Data"/>
      <sheetName val="Inv S"/>
      <sheetName val="投資(加）"/>
      <sheetName val="各部门主管考评汇总表"/>
      <sheetName val="#REF!"/>
      <sheetName val="Sheet5"/>
      <sheetName val="USD"/>
      <sheetName val="制部办公室"/>
      <sheetName val="注塑二车间"/>
      <sheetName val="装配二车间"/>
      <sheetName val="包制车间"/>
      <sheetName val="Ｍ　企画前（総数変更）"/>
      <sheetName val="上限公差"/>
      <sheetName val="管制图"/>
      <sheetName val=""/>
      <sheetName val="オリジナル"/>
      <sheetName val="HVL Cost Study"/>
      <sheetName val="Sheet3"/>
      <sheetName val="II、Base"/>
      <sheetName val="HDa16"/>
      <sheetName val="异常运费"/>
      <sheetName val="2-材料ES比"/>
      <sheetName val="93"/>
      <sheetName val="汇总"/>
      <sheetName val="Business Plan"/>
      <sheetName val="Purchasing"/>
      <sheetName val="BOM簡化"/>
      <sheetName val="組裝工時表"/>
      <sheetName val="見積書"/>
      <sheetName val="时间节点"/>
      <sheetName val="2-时间节点"/>
      <sheetName val="Apr (1) 3 of 3"/>
      <sheetName val="10月车间日报表.xlsx"/>
      <sheetName val="内外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:AC198"/>
  <sheetViews>
    <sheetView topLeftCell="A100" workbookViewId="0">
      <selection activeCell="F4" sqref="F4:H7"/>
    </sheetView>
  </sheetViews>
  <sheetFormatPr defaultColWidth="9" defaultRowHeight="13.5"/>
  <cols>
    <col min="1" max="1" width="2.63716814159292" style="22" customWidth="1"/>
    <col min="2" max="16384" width="9" style="22"/>
  </cols>
  <sheetData>
    <row r="1" ht="23.25" spans="12:24">
      <c r="L1" s="31" t="s">
        <v>0</v>
      </c>
      <c r="X1" s="32"/>
    </row>
    <row r="2" customHeight="1" spans="12:24">
      <c r="L2" s="31"/>
      <c r="X2" s="32"/>
    </row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63" spans="29:29">
      <c r="AC63" s="33"/>
    </row>
    <row r="64" spans="29:29">
      <c r="AC64" s="33"/>
    </row>
    <row r="65" spans="29:29">
      <c r="AC65" s="33"/>
    </row>
    <row r="66" spans="29:29">
      <c r="AC66" s="33"/>
    </row>
    <row r="67" spans="29:29">
      <c r="AC67" s="33"/>
    </row>
    <row r="68" spans="29:29">
      <c r="AC68" s="33"/>
    </row>
    <row r="69" spans="29:29">
      <c r="AC69" s="33"/>
    </row>
    <row r="70" spans="29:29">
      <c r="AC70" s="33"/>
    </row>
    <row r="71" spans="29:29">
      <c r="AC71" s="33"/>
    </row>
    <row r="72" spans="29:29">
      <c r="AC72" s="33"/>
    </row>
    <row r="73" spans="29:29">
      <c r="AC73" s="33"/>
    </row>
    <row r="74" spans="29:29">
      <c r="AC74" s="33"/>
    </row>
    <row r="75" spans="29:29">
      <c r="AC75" s="33"/>
    </row>
    <row r="76" spans="29:29">
      <c r="AC76" s="33"/>
    </row>
    <row r="77" spans="29:29">
      <c r="AC77" s="33"/>
    </row>
    <row r="78" spans="29:29">
      <c r="AC78" s="33"/>
    </row>
    <row r="79" spans="29:29">
      <c r="AC79" s="33"/>
    </row>
    <row r="80" spans="29:29">
      <c r="AC80" s="33"/>
    </row>
    <row r="81" spans="29:29">
      <c r="AC81" s="33"/>
    </row>
    <row r="82" spans="29:29">
      <c r="AC82" s="33"/>
    </row>
    <row r="83" spans="29:29">
      <c r="AC83" s="33"/>
    </row>
    <row r="84" spans="29:29">
      <c r="AC84" s="33"/>
    </row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T2:Y64"/>
  <sheetViews>
    <sheetView workbookViewId="0">
      <selection activeCell="F4" sqref="F4:H7"/>
    </sheetView>
  </sheetViews>
  <sheetFormatPr defaultColWidth="9" defaultRowHeight="13.5"/>
  <cols>
    <col min="1" max="1" width="4.88495575221239" style="21" customWidth="1"/>
    <col min="2" max="4" width="12.8849557522124" style="21" customWidth="1"/>
    <col min="5" max="19" width="9" style="21"/>
    <col min="20" max="20" width="10.2477876106195" style="21" customWidth="1"/>
    <col min="21" max="22" width="11.3805309734513" style="21" customWidth="1"/>
    <col min="23" max="23" width="10.5044247787611" style="22" customWidth="1"/>
    <col min="24" max="24" width="11.1327433628319" style="23" customWidth="1"/>
    <col min="25" max="16384" width="9" style="21"/>
  </cols>
  <sheetData>
    <row r="2" customHeight="1"/>
    <row r="3" ht="23.25" customHeight="1" spans="20:25">
      <c r="T3" s="24" t="s">
        <v>1</v>
      </c>
      <c r="U3" s="24" t="s">
        <v>2</v>
      </c>
      <c r="V3" s="24" t="s">
        <v>3</v>
      </c>
      <c r="W3" s="24" t="s">
        <v>4</v>
      </c>
      <c r="X3" s="24" t="s">
        <v>5</v>
      </c>
    </row>
    <row r="4" ht="23.25" customHeight="1" spans="20:25">
      <c r="T4" s="25" t="s">
        <v>6</v>
      </c>
      <c r="U4" s="25">
        <v>153</v>
      </c>
      <c r="V4" s="26">
        <v>704</v>
      </c>
      <c r="W4" s="27">
        <f t="shared" ref="W4:W14" si="0">U4/V4</f>
        <v>0.217329545454545</v>
      </c>
      <c r="X4" s="28">
        <f t="shared" ref="X4:X13" si="1">V4-U4</f>
        <v>551</v>
      </c>
    </row>
    <row r="5" ht="23.25" customHeight="1" spans="20:25">
      <c r="T5" s="25" t="s">
        <v>7</v>
      </c>
      <c r="U5" s="25">
        <v>116</v>
      </c>
      <c r="V5" s="25">
        <v>464</v>
      </c>
      <c r="W5" s="27">
        <f t="shared" si="0"/>
        <v>0.25</v>
      </c>
      <c r="X5" s="28">
        <f t="shared" si="1"/>
        <v>348</v>
      </c>
    </row>
    <row r="6" ht="23.25" customHeight="1" spans="20:25">
      <c r="T6" s="25" t="s">
        <v>8</v>
      </c>
      <c r="U6" s="25">
        <v>221</v>
      </c>
      <c r="V6" s="25">
        <v>512</v>
      </c>
      <c r="W6" s="27">
        <f t="shared" si="0"/>
        <v>0.431640625</v>
      </c>
      <c r="X6" s="28">
        <f t="shared" si="1"/>
        <v>291</v>
      </c>
    </row>
    <row r="7" ht="23.25" customHeight="1" spans="20:25">
      <c r="T7" s="25" t="s">
        <v>9</v>
      </c>
      <c r="U7" s="25">
        <v>130</v>
      </c>
      <c r="V7" s="25">
        <v>455</v>
      </c>
      <c r="W7" s="27">
        <f t="shared" si="0"/>
        <v>0.285714285714286</v>
      </c>
      <c r="X7" s="28">
        <f t="shared" si="1"/>
        <v>325</v>
      </c>
    </row>
    <row r="8" ht="23.25" customHeight="1" spans="20:25">
      <c r="T8" s="25" t="s">
        <v>10</v>
      </c>
      <c r="U8" s="25">
        <v>272</v>
      </c>
      <c r="V8" s="25">
        <v>342</v>
      </c>
      <c r="W8" s="27">
        <f t="shared" si="0"/>
        <v>0.795321637426901</v>
      </c>
      <c r="X8" s="28">
        <f t="shared" si="1"/>
        <v>70</v>
      </c>
    </row>
    <row r="9" ht="23.25" customHeight="1" spans="20:25">
      <c r="T9" s="25" t="s">
        <v>11</v>
      </c>
      <c r="U9" s="25">
        <v>210</v>
      </c>
      <c r="V9" s="25">
        <v>342</v>
      </c>
      <c r="W9" s="27">
        <f t="shared" si="0"/>
        <v>0.614035087719298</v>
      </c>
      <c r="X9" s="28">
        <f t="shared" si="1"/>
        <v>132</v>
      </c>
    </row>
    <row r="10" ht="23.25" customHeight="1" spans="20:25">
      <c r="T10" s="25" t="s">
        <v>12</v>
      </c>
      <c r="U10" s="25">
        <v>55</v>
      </c>
      <c r="V10" s="25">
        <v>221</v>
      </c>
      <c r="W10" s="27">
        <f t="shared" si="0"/>
        <v>0.248868778280543</v>
      </c>
      <c r="X10" s="28">
        <f t="shared" si="1"/>
        <v>166</v>
      </c>
    </row>
    <row r="11" ht="23.25" customHeight="1" spans="20:25">
      <c r="T11" s="25" t="s">
        <v>13</v>
      </c>
      <c r="U11" s="25">
        <v>130</v>
      </c>
      <c r="V11" s="25">
        <v>455</v>
      </c>
      <c r="W11" s="27">
        <f t="shared" si="0"/>
        <v>0.285714285714286</v>
      </c>
      <c r="X11" s="28">
        <f t="shared" si="1"/>
        <v>325</v>
      </c>
    </row>
    <row r="12" ht="23.25" customHeight="1" spans="20:25">
      <c r="T12" s="25" t="s">
        <v>14</v>
      </c>
      <c r="U12" s="25">
        <v>34</v>
      </c>
      <c r="V12" s="25">
        <v>99</v>
      </c>
      <c r="W12" s="27">
        <f t="shared" si="0"/>
        <v>0.343434343434343</v>
      </c>
      <c r="X12" s="28">
        <f t="shared" si="1"/>
        <v>65</v>
      </c>
    </row>
    <row r="13" ht="23.25" customHeight="1" spans="20:25">
      <c r="T13" s="25" t="s">
        <v>15</v>
      </c>
      <c r="U13" s="25">
        <v>235</v>
      </c>
      <c r="V13" s="25">
        <v>976</v>
      </c>
      <c r="W13" s="27">
        <f t="shared" si="0"/>
        <v>0.24077868852459</v>
      </c>
      <c r="X13" s="28">
        <f t="shared" si="1"/>
        <v>741</v>
      </c>
    </row>
    <row r="14" ht="27.75" customHeight="1" spans="20:25">
      <c r="T14" s="29" t="s">
        <v>16</v>
      </c>
      <c r="U14" s="25">
        <f>SUM(U4:U13)</f>
        <v>1556</v>
      </c>
      <c r="V14" s="26">
        <f>SUM(V4:V13)</f>
        <v>4570</v>
      </c>
      <c r="W14" s="27">
        <f t="shared" si="0"/>
        <v>0.340481400437637</v>
      </c>
      <c r="X14" s="28">
        <f>SUM(X4:X13)</f>
        <v>3014</v>
      </c>
      <c r="Y14" s="30"/>
    </row>
    <row r="15" customHeight="1"/>
    <row r="16" customHeight="1"/>
    <row r="17" customHeight="1"/>
    <row r="19" customHeight="1"/>
    <row r="20" customHeight="1"/>
    <row r="21" customHeight="1"/>
    <row r="22" customHeight="1"/>
    <row r="23" customHeight="1"/>
    <row r="24" customHeight="1"/>
    <row r="25" customHeight="1"/>
    <row r="27" customHeight="1"/>
    <row r="28" customHeight="1"/>
    <row r="29" customHeight="1"/>
    <row r="30" customHeight="1"/>
    <row r="31" customHeight="1"/>
    <row r="32" customHeight="1"/>
    <row r="35" customHeight="1"/>
    <row r="36" customHeight="1"/>
    <row r="37" customHeight="1"/>
    <row r="38" customHeight="1"/>
    <row r="39" customHeight="1"/>
    <row r="40" customHeight="1"/>
    <row r="43" customHeight="1"/>
    <row r="44" customHeight="1"/>
    <row r="45" customHeight="1"/>
    <row r="46" customHeight="1"/>
    <row r="47" customHeight="1"/>
    <row r="48" customHeight="1"/>
    <row r="51" customHeight="1"/>
    <row r="52" customHeight="1"/>
    <row r="53" customHeight="1"/>
    <row r="54" customHeight="1"/>
    <row r="55" customHeight="1"/>
    <row r="56" customHeight="1"/>
    <row r="59" customHeight="1"/>
    <row r="60" customHeight="1"/>
    <row r="61" customHeight="1"/>
    <row r="62" customHeight="1"/>
    <row r="63" customHeight="1"/>
    <row r="64" customHeight="1"/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topLeftCell="A20" workbookViewId="0">
      <selection activeCell="A31" sqref="$A31:$XFD31"/>
    </sheetView>
  </sheetViews>
  <sheetFormatPr defaultColWidth="9" defaultRowHeight="13.5" outlineLevelCol="4"/>
  <cols>
    <col min="3" max="3" width="40.5132743362832" customWidth="1"/>
    <col min="4" max="5" width="20" customWidth="1"/>
  </cols>
  <sheetData>
    <row r="1" ht="36" customHeight="1" spans="1:5">
      <c r="A1" s="1" t="s">
        <v>17</v>
      </c>
      <c r="B1" s="2"/>
      <c r="C1" s="1" t="s">
        <v>18</v>
      </c>
      <c r="D1" s="3"/>
      <c r="E1" s="2"/>
    </row>
    <row r="2" ht="45" customHeight="1" spans="1:5">
      <c r="A2" s="4" t="s">
        <v>19</v>
      </c>
      <c r="B2" s="4"/>
      <c r="C2" s="4">
        <v>1</v>
      </c>
      <c r="D2" s="4"/>
      <c r="E2" s="4"/>
    </row>
    <row r="3" ht="45" customHeight="1" spans="1:5">
      <c r="A3" s="5" t="s">
        <v>20</v>
      </c>
      <c r="B3" s="6"/>
      <c r="C3" s="5" t="s">
        <v>21</v>
      </c>
      <c r="D3" s="7"/>
      <c r="E3" s="6"/>
    </row>
    <row r="4" ht="45" customHeight="1" spans="1:5">
      <c r="A4" s="8" t="s">
        <v>22</v>
      </c>
      <c r="B4" s="9"/>
      <c r="C4" s="5" t="s">
        <v>23</v>
      </c>
      <c r="D4" s="7"/>
      <c r="E4" s="6"/>
    </row>
    <row r="5" ht="45" customHeight="1" spans="1:5">
      <c r="A5" s="8" t="s">
        <v>24</v>
      </c>
      <c r="B5" s="9"/>
      <c r="C5" s="5" t="s">
        <v>25</v>
      </c>
      <c r="D5" s="7"/>
      <c r="E5" s="6"/>
    </row>
    <row r="6" ht="35" customHeight="1" spans="1:5">
      <c r="A6" s="10" t="s">
        <v>26</v>
      </c>
      <c r="B6" s="11" t="s">
        <v>27</v>
      </c>
      <c r="C6" s="11" t="s">
        <v>28</v>
      </c>
      <c r="D6" s="12" t="s">
        <v>29</v>
      </c>
      <c r="E6" s="12" t="s">
        <v>30</v>
      </c>
    </row>
    <row r="7" ht="35" customHeight="1" spans="1:5">
      <c r="A7" s="10"/>
      <c r="B7" s="13">
        <v>1</v>
      </c>
      <c r="C7" s="4" t="s">
        <v>31</v>
      </c>
      <c r="D7" s="14">
        <v>46037</v>
      </c>
      <c r="E7" s="14">
        <v>46037</v>
      </c>
    </row>
    <row r="8" ht="35" customHeight="1" spans="1:5">
      <c r="A8" s="10"/>
      <c r="B8" s="15">
        <v>1.1</v>
      </c>
      <c r="C8" s="15" t="s">
        <v>32</v>
      </c>
      <c r="D8" s="14">
        <v>46038</v>
      </c>
      <c r="E8" s="14">
        <v>46038</v>
      </c>
    </row>
    <row r="9" ht="35" customHeight="1" spans="1:5">
      <c r="A9" s="10"/>
      <c r="B9" s="15">
        <v>1.2</v>
      </c>
      <c r="C9" s="15" t="s">
        <v>33</v>
      </c>
      <c r="D9" s="14">
        <v>46039</v>
      </c>
      <c r="E9" s="14">
        <v>46039</v>
      </c>
    </row>
    <row r="10" ht="35" customHeight="1" spans="1:5">
      <c r="A10" s="10"/>
      <c r="B10" s="15">
        <v>1.3</v>
      </c>
      <c r="C10" s="15" t="s">
        <v>34</v>
      </c>
      <c r="D10" s="14">
        <v>46040</v>
      </c>
      <c r="E10" s="14">
        <v>46040</v>
      </c>
    </row>
    <row r="11" ht="35" customHeight="1" spans="1:5">
      <c r="A11" s="10"/>
      <c r="B11" s="15">
        <v>1.4</v>
      </c>
      <c r="C11" s="15" t="s">
        <v>35</v>
      </c>
      <c r="D11" s="14">
        <v>46041</v>
      </c>
      <c r="E11" s="14">
        <v>46041</v>
      </c>
    </row>
    <row r="12" ht="35" customHeight="1" spans="1:5">
      <c r="A12" s="10"/>
      <c r="B12" s="4">
        <v>1.5</v>
      </c>
      <c r="C12" s="4" t="s">
        <v>36</v>
      </c>
      <c r="D12" s="14">
        <v>46042</v>
      </c>
      <c r="E12" s="14">
        <v>46042</v>
      </c>
    </row>
    <row r="13" ht="35" customHeight="1" spans="1:5">
      <c r="A13" s="10"/>
      <c r="B13" s="4">
        <v>1.6</v>
      </c>
      <c r="C13" s="4" t="s">
        <v>37</v>
      </c>
      <c r="D13" s="14">
        <v>46055</v>
      </c>
      <c r="E13" s="14">
        <v>46055</v>
      </c>
    </row>
    <row r="14" ht="35" customHeight="1" spans="1:5">
      <c r="A14" s="16" t="s">
        <v>26</v>
      </c>
      <c r="B14" s="4" t="s">
        <v>38</v>
      </c>
      <c r="C14" s="17" t="s">
        <v>39</v>
      </c>
      <c r="D14" s="14">
        <v>46060</v>
      </c>
      <c r="E14" s="14">
        <v>46060</v>
      </c>
    </row>
    <row r="15" ht="35" customHeight="1" spans="1:5">
      <c r="A15" s="10"/>
      <c r="B15" s="4">
        <v>2</v>
      </c>
      <c r="C15" s="18" t="s">
        <v>40</v>
      </c>
      <c r="D15" s="14">
        <v>46061</v>
      </c>
      <c r="E15" s="14">
        <v>46061</v>
      </c>
    </row>
    <row r="16" ht="35" customHeight="1" spans="1:5">
      <c r="A16" s="10"/>
      <c r="B16" s="4">
        <v>2.1</v>
      </c>
      <c r="C16" s="18" t="s">
        <v>41</v>
      </c>
      <c r="D16" s="14">
        <v>46062</v>
      </c>
      <c r="E16" s="14">
        <v>46062</v>
      </c>
    </row>
    <row r="17" ht="35" customHeight="1" spans="1:5">
      <c r="A17" s="10"/>
      <c r="B17" s="4" t="s">
        <v>42</v>
      </c>
      <c r="C17" s="18" t="s">
        <v>43</v>
      </c>
      <c r="D17" s="14">
        <v>46062</v>
      </c>
      <c r="E17" s="14">
        <v>46062</v>
      </c>
    </row>
    <row r="18" ht="35" customHeight="1" spans="1:5">
      <c r="A18" s="10"/>
      <c r="B18" s="4" t="s">
        <v>44</v>
      </c>
      <c r="C18" s="18" t="s">
        <v>45</v>
      </c>
      <c r="D18" s="14">
        <v>46062</v>
      </c>
      <c r="E18" s="14">
        <v>46062</v>
      </c>
    </row>
    <row r="19" ht="35" customHeight="1" spans="1:5">
      <c r="A19" s="16"/>
      <c r="B19" s="4" t="s">
        <v>46</v>
      </c>
      <c r="C19" s="18" t="s">
        <v>47</v>
      </c>
      <c r="D19" s="14">
        <v>46063</v>
      </c>
      <c r="E19" s="14">
        <v>46063</v>
      </c>
    </row>
    <row r="20" ht="35" customHeight="1" spans="1:5">
      <c r="A20" s="10"/>
      <c r="B20" s="4" t="s">
        <v>48</v>
      </c>
      <c r="C20" s="18" t="s">
        <v>49</v>
      </c>
      <c r="D20" s="14">
        <v>46066</v>
      </c>
      <c r="E20" s="14">
        <v>46066</v>
      </c>
    </row>
    <row r="21" ht="35" customHeight="1" spans="1:5">
      <c r="A21" s="10"/>
      <c r="B21" s="4">
        <v>2.2</v>
      </c>
      <c r="C21" s="18" t="s">
        <v>50</v>
      </c>
      <c r="D21" s="14">
        <v>46067</v>
      </c>
      <c r="E21" s="14">
        <v>46067</v>
      </c>
    </row>
    <row r="22" ht="35" customHeight="1" spans="1:5">
      <c r="A22" s="10"/>
      <c r="B22" s="4" t="s">
        <v>51</v>
      </c>
      <c r="C22" s="18" t="s">
        <v>52</v>
      </c>
      <c r="D22" s="14">
        <v>46068</v>
      </c>
      <c r="E22" s="14">
        <v>46068</v>
      </c>
    </row>
    <row r="23" ht="35" customHeight="1" spans="1:5">
      <c r="A23" s="10"/>
      <c r="B23" s="4" t="s">
        <v>53</v>
      </c>
      <c r="C23" s="18" t="s">
        <v>54</v>
      </c>
      <c r="D23" s="14">
        <v>46069</v>
      </c>
      <c r="E23" s="14">
        <v>46069</v>
      </c>
    </row>
    <row r="24" ht="35" customHeight="1" spans="1:5">
      <c r="A24" s="16"/>
      <c r="B24" s="4" t="s">
        <v>55</v>
      </c>
      <c r="C24" s="18" t="s">
        <v>56</v>
      </c>
      <c r="D24" s="14">
        <v>46070</v>
      </c>
      <c r="E24" s="14">
        <v>46070</v>
      </c>
    </row>
    <row r="25" ht="35" customHeight="1" spans="1:5">
      <c r="A25" s="10"/>
      <c r="B25" s="4" t="s">
        <v>57</v>
      </c>
      <c r="C25" s="18" t="s">
        <v>58</v>
      </c>
      <c r="D25" s="14">
        <v>46071</v>
      </c>
      <c r="E25" s="14">
        <v>46071</v>
      </c>
    </row>
    <row r="26" ht="35" customHeight="1" spans="1:5">
      <c r="A26" s="10"/>
      <c r="B26" s="4">
        <v>2.3</v>
      </c>
      <c r="C26" s="18" t="s">
        <v>59</v>
      </c>
      <c r="D26" s="14">
        <v>46072</v>
      </c>
      <c r="E26" s="14">
        <v>46072</v>
      </c>
    </row>
    <row r="27" ht="35" customHeight="1" spans="1:5">
      <c r="A27" s="10"/>
      <c r="B27" s="4" t="s">
        <v>60</v>
      </c>
      <c r="C27" s="18" t="s">
        <v>61</v>
      </c>
      <c r="D27" s="14">
        <v>46073</v>
      </c>
      <c r="E27" s="14">
        <v>46073</v>
      </c>
    </row>
    <row r="28" ht="35" customHeight="1" spans="1:5">
      <c r="A28" s="10"/>
      <c r="B28" s="4">
        <v>3</v>
      </c>
      <c r="C28" s="18" t="s">
        <v>62</v>
      </c>
      <c r="D28" s="14">
        <v>46074</v>
      </c>
      <c r="E28" s="14">
        <v>46074</v>
      </c>
    </row>
    <row r="29" ht="35" customHeight="1" spans="1:5">
      <c r="A29" s="16"/>
      <c r="B29" s="4">
        <v>3.1</v>
      </c>
      <c r="C29" s="18" t="s">
        <v>63</v>
      </c>
      <c r="D29" s="14">
        <v>46075</v>
      </c>
      <c r="E29" s="14">
        <v>46075</v>
      </c>
    </row>
    <row r="30" ht="13.85" spans="1:5">
      <c r="A30" s="18"/>
      <c r="B30" s="4">
        <v>3.2</v>
      </c>
      <c r="C30" s="18" t="s">
        <v>64</v>
      </c>
      <c r="D30" s="14">
        <v>46076</v>
      </c>
      <c r="E30" s="14">
        <v>46076</v>
      </c>
    </row>
    <row r="31" ht="13.85" spans="1:5">
      <c r="A31" s="18"/>
      <c r="B31" s="4">
        <v>4</v>
      </c>
      <c r="C31" s="18" t="s">
        <v>65</v>
      </c>
      <c r="D31" s="14">
        <v>46077</v>
      </c>
      <c r="E31" s="14">
        <v>46077</v>
      </c>
    </row>
    <row r="32" ht="13.85" spans="1:5">
      <c r="A32" s="18"/>
      <c r="B32" s="4">
        <v>4.1</v>
      </c>
      <c r="C32" s="18" t="s">
        <v>66</v>
      </c>
      <c r="D32" s="14">
        <v>46078</v>
      </c>
      <c r="E32" s="14">
        <v>46078</v>
      </c>
    </row>
    <row r="33" ht="13.85" spans="1:5">
      <c r="A33" s="18"/>
      <c r="B33" s="4">
        <v>4.2</v>
      </c>
      <c r="C33" s="18" t="s">
        <v>67</v>
      </c>
      <c r="D33" s="14">
        <v>46079</v>
      </c>
      <c r="E33" s="14">
        <v>46079</v>
      </c>
    </row>
    <row r="34" ht="13.85" spans="1:5">
      <c r="A34" s="18"/>
      <c r="B34" s="4" t="s">
        <v>68</v>
      </c>
      <c r="C34" s="18" t="s">
        <v>69</v>
      </c>
      <c r="D34" s="14">
        <v>46080</v>
      </c>
      <c r="E34" s="14">
        <v>46080</v>
      </c>
    </row>
    <row r="35" ht="13.85" spans="1:5">
      <c r="A35" s="18"/>
      <c r="B35" s="4" t="s">
        <v>70</v>
      </c>
      <c r="C35" s="18" t="s">
        <v>71</v>
      </c>
      <c r="D35" s="14">
        <v>46081</v>
      </c>
      <c r="E35" s="14">
        <v>46081</v>
      </c>
    </row>
    <row r="36" ht="13.85" spans="1:5">
      <c r="A36" s="18"/>
      <c r="B36" s="4" t="s">
        <v>72</v>
      </c>
      <c r="C36" s="18" t="s">
        <v>73</v>
      </c>
      <c r="D36" s="14">
        <v>46082</v>
      </c>
      <c r="E36" s="14">
        <v>46082</v>
      </c>
    </row>
    <row r="37" ht="13.85" spans="1:5">
      <c r="A37" s="18"/>
      <c r="B37" s="4" t="s">
        <v>74</v>
      </c>
      <c r="C37" s="18" t="s">
        <v>75</v>
      </c>
      <c r="D37" s="14">
        <v>46083</v>
      </c>
      <c r="E37" s="14">
        <v>46083</v>
      </c>
    </row>
    <row r="38" ht="13.85" spans="1:5">
      <c r="A38" s="18"/>
      <c r="B38" s="4">
        <v>4.3</v>
      </c>
      <c r="C38" s="19" t="s">
        <v>76</v>
      </c>
      <c r="D38" s="14">
        <v>46084</v>
      </c>
      <c r="E38" s="14">
        <v>46084</v>
      </c>
    </row>
    <row r="39" ht="13.85" spans="1:5">
      <c r="A39" s="18"/>
      <c r="B39" s="4">
        <v>4.4</v>
      </c>
      <c r="C39" s="18" t="s">
        <v>77</v>
      </c>
      <c r="D39" s="14">
        <v>46085</v>
      </c>
      <c r="E39" s="14">
        <v>46085</v>
      </c>
    </row>
    <row r="40" ht="13.85" spans="1:5">
      <c r="A40" s="18"/>
      <c r="B40" s="4">
        <v>4.5</v>
      </c>
      <c r="C40" s="20" t="s">
        <v>78</v>
      </c>
      <c r="D40" s="14">
        <v>46086</v>
      </c>
      <c r="E40" s="14">
        <v>46086</v>
      </c>
    </row>
    <row r="41" ht="13.85" spans="1:5">
      <c r="A41" s="18"/>
      <c r="B41" s="4">
        <v>5</v>
      </c>
      <c r="C41" s="18" t="s">
        <v>79</v>
      </c>
      <c r="D41" s="14">
        <v>46087</v>
      </c>
      <c r="E41" s="14">
        <v>46087</v>
      </c>
    </row>
    <row r="42" ht="13.85" spans="1:5">
      <c r="A42" s="18"/>
      <c r="B42" s="4">
        <v>5.1</v>
      </c>
      <c r="C42" s="18" t="s">
        <v>80</v>
      </c>
      <c r="D42" s="14">
        <v>46088</v>
      </c>
      <c r="E42" s="14">
        <v>46088</v>
      </c>
    </row>
    <row r="43" ht="13.85" spans="1:5">
      <c r="A43" s="18"/>
      <c r="B43" s="4" t="s">
        <v>81</v>
      </c>
      <c r="C43" s="18" t="s">
        <v>82</v>
      </c>
      <c r="D43" s="14">
        <v>46089</v>
      </c>
      <c r="E43" s="14">
        <v>46089</v>
      </c>
    </row>
    <row r="44" ht="13.85" spans="1:5">
      <c r="A44" s="18"/>
      <c r="B44" s="4" t="s">
        <v>83</v>
      </c>
      <c r="C44" s="18" t="s">
        <v>84</v>
      </c>
      <c r="D44" s="14">
        <v>46090</v>
      </c>
      <c r="E44" s="14">
        <v>46090</v>
      </c>
    </row>
    <row r="45" ht="13.85" spans="1:5">
      <c r="A45" s="18"/>
      <c r="B45" s="4">
        <v>5.2</v>
      </c>
      <c r="C45" s="18" t="s">
        <v>85</v>
      </c>
      <c r="D45" s="14">
        <v>46091</v>
      </c>
      <c r="E45" s="14">
        <v>46091</v>
      </c>
    </row>
    <row r="46" ht="13.85" spans="1:5">
      <c r="A46" s="18"/>
      <c r="B46" s="4">
        <v>5.3</v>
      </c>
      <c r="C46" s="18" t="s">
        <v>86</v>
      </c>
      <c r="D46" s="14">
        <v>46092</v>
      </c>
      <c r="E46" s="14">
        <v>46092</v>
      </c>
    </row>
    <row r="47" ht="13.85" spans="1:5">
      <c r="A47" s="18"/>
      <c r="B47" s="4">
        <v>5.4</v>
      </c>
      <c r="C47" s="18" t="s">
        <v>87</v>
      </c>
      <c r="D47" s="14">
        <v>46093</v>
      </c>
      <c r="E47" s="14">
        <v>46093</v>
      </c>
    </row>
    <row r="48" ht="13.85" spans="1:5">
      <c r="A48" s="18"/>
      <c r="B48" s="4">
        <v>5.5</v>
      </c>
      <c r="C48" s="18" t="s">
        <v>88</v>
      </c>
      <c r="D48" s="14">
        <v>46094</v>
      </c>
      <c r="E48" s="14">
        <v>46094</v>
      </c>
    </row>
    <row r="49" ht="13.85" spans="1:5">
      <c r="A49" s="18"/>
      <c r="B49" s="4">
        <v>5.6</v>
      </c>
      <c r="C49" s="18" t="s">
        <v>89</v>
      </c>
      <c r="D49" s="14">
        <v>46095</v>
      </c>
      <c r="E49" s="14">
        <v>46095</v>
      </c>
    </row>
    <row r="50" ht="13.85" spans="1:5">
      <c r="A50" s="18"/>
      <c r="B50" s="4">
        <v>5.7</v>
      </c>
      <c r="C50" s="18" t="s">
        <v>90</v>
      </c>
      <c r="D50" s="14">
        <v>46096</v>
      </c>
      <c r="E50" s="14">
        <v>46096</v>
      </c>
    </row>
    <row r="51" ht="13.85" spans="1:5">
      <c r="A51" s="18"/>
      <c r="B51" s="4">
        <v>5.8</v>
      </c>
      <c r="C51" s="18" t="s">
        <v>91</v>
      </c>
      <c r="D51" s="14">
        <v>46097</v>
      </c>
      <c r="E51" s="14">
        <v>46097</v>
      </c>
    </row>
    <row r="52" ht="13.85" spans="1:5">
      <c r="A52" s="18"/>
      <c r="B52" s="4">
        <v>6</v>
      </c>
      <c r="C52" s="18" t="s">
        <v>92</v>
      </c>
      <c r="D52" s="14">
        <v>46098</v>
      </c>
      <c r="E52" s="14">
        <v>46098</v>
      </c>
    </row>
    <row r="53" ht="13.85" spans="1:5">
      <c r="A53" s="18"/>
      <c r="B53" s="4">
        <v>6.1</v>
      </c>
      <c r="C53" s="18" t="s">
        <v>93</v>
      </c>
      <c r="D53" s="14">
        <v>46099</v>
      </c>
      <c r="E53" s="14">
        <v>46099</v>
      </c>
    </row>
    <row r="54" ht="13.85" spans="1:5">
      <c r="A54" s="18"/>
      <c r="B54" s="4">
        <v>6.2</v>
      </c>
      <c r="C54" s="18" t="s">
        <v>94</v>
      </c>
      <c r="D54" s="14">
        <v>46100</v>
      </c>
      <c r="E54" s="14">
        <v>46100</v>
      </c>
    </row>
    <row r="55" ht="13.85" spans="1:5">
      <c r="A55" s="18"/>
      <c r="B55" s="4">
        <v>6.3</v>
      </c>
      <c r="C55" s="18" t="s">
        <v>95</v>
      </c>
      <c r="D55" s="14">
        <v>46101</v>
      </c>
      <c r="E55" s="14">
        <v>46101</v>
      </c>
    </row>
  </sheetData>
  <mergeCells count="1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月负荷图标1月</vt:lpstr>
      <vt:lpstr>月负荷图标1月总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bqgff</cp:lastModifiedBy>
  <dcterms:created xsi:type="dcterms:W3CDTF">2018-06-14T04:13:00Z</dcterms:created>
  <cp:lastPrinted>2024-06-18T00:58:00Z</cp:lastPrinted>
  <dcterms:modified xsi:type="dcterms:W3CDTF">2026-03-10T04:31:51Z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5644CA8E4AFC4742A0E0150AEFC003F7_13</vt:lpwstr>
  </property>
  <property fmtid="{D5CDD505-2E9C-101B-9397-08002B2CF9AE}" pid="4" name="CalculationRule">
    <vt:i4>0</vt:i4>
  </property>
</Properties>
</file>